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edca0c305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a4dc78d8664451"/>
    <x:sheet xmlns:r="http://schemas.openxmlformats.org/officeDocument/2006/relationships" name="Students" sheetId="2" r:id="R52c82fe1ec6d4e14"/>
    <x:sheet xmlns:r="http://schemas.openxmlformats.org/officeDocument/2006/relationships" name="Exams" sheetId="3" r:id="R9f195b4cf6794d27"/>
    <x:sheet xmlns:r="http://schemas.openxmlformats.org/officeDocument/2006/relationships" name="Targets" sheetId="4" r:id="R6d2b38ddde214c8a"/>
    <x:sheet xmlns:r="http://schemas.openxmlformats.org/officeDocument/2006/relationships" name="Scores" sheetId="5" r:id="Rcaf12fd020334c6e"/>
    <x:sheet xmlns:r="http://schemas.openxmlformats.org/officeDocument/2006/relationships" name="Student Summary" sheetId="6" r:id="R226748288e6748c4"/>
    <x:sheet xmlns:r="http://schemas.openxmlformats.org/officeDocument/2006/relationships" name="Class Summary" sheetId="7" r:id="R57a1967d3f9f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599b1d5e742c3" /><Relationship Type="http://schemas.openxmlformats.org/officeDocument/2006/relationships/theme" Target="/xl/theme/theme1.xml" Id="R2f4a9c38a86a4a97" /><Relationship Type="http://schemas.openxmlformats.org/officeDocument/2006/relationships/sharedStrings" Target="/xl/sharedStrings.xml" Id="R531b6003d1da4fd7" /><Relationship Type="http://schemas.openxmlformats.org/officeDocument/2006/relationships/worksheet" Target="/xl/worksheets/sheet1.xml" Id="R46a4dc78d8664451" /><Relationship Type="http://schemas.openxmlformats.org/officeDocument/2006/relationships/worksheet" Target="/xl/worksheets/sheet2.xml" Id="R52c82fe1ec6d4e14" /><Relationship Type="http://schemas.openxmlformats.org/officeDocument/2006/relationships/worksheet" Target="/xl/worksheets/sheet3.xml" Id="R9f195b4cf6794d27" /><Relationship Type="http://schemas.openxmlformats.org/officeDocument/2006/relationships/worksheet" Target="/xl/worksheets/sheet4.xml" Id="R6d2b38ddde214c8a" /><Relationship Type="http://schemas.openxmlformats.org/officeDocument/2006/relationships/worksheet" Target="/xl/worksheets/sheet5.xml" Id="Rcaf12fd020334c6e" /><Relationship Type="http://schemas.openxmlformats.org/officeDocument/2006/relationships/worksheet" Target="/xl/worksheets/sheet6.xml" Id="R226748288e6748c4" /><Relationship Type="http://schemas.openxmlformats.org/officeDocument/2006/relationships/worksheet" Target="/xl/worksheets/sheet7.xml" Id="R57a1967d3f9f49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369cd2ec4c428d" /><Relationship Type="http://schemas.openxmlformats.org/officeDocument/2006/relationships/chart" Target="/xl/drawings/charts/chart2.xml" Id="R7d6b6ad593374e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Final Score by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Final Score</c:v>
          </c:tx>
          <c:cat>
            <c:strRef>
              <c:f>'Class Summary'!$A$8:$A$10</c:f>
              <c:strCache>
                <c:ptCount val="0"/>
              </c:strCache>
            </c:strRef>
          </c:cat>
          <c:val>
            <c:numRef>
              <c:f>'Class Summary'!$B$8:$B$10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English Target Attainment by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English Target Attainment</c:v>
          </c:tx>
          <c:cat>
            <c:strRef>
              <c:f>'Class Summary'!$D$8:$D$10</c:f>
              <c:strCache>
                <c:ptCount val="0"/>
              </c:strCache>
            </c:strRef>
          </c:cat>
          <c:val>
            <c:numRef>
              <c:f>'Class Summary'!$E$8:$E$10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69cd2ec4c428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6b6ad593374e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sTable" displayName="StudentsTable" ref="A1:F31" headerRowCount="1">
  <x:tableColumns count="6">
    <x:tableColumn id="1" name="StudentID"/>
    <x:tableColumn id="2" name="FirstName"/>
    <x:tableColumn id="3" name="LastName"/>
    <x:tableColumn id="4" name="Gender"/>
    <x:tableColumn id="5" name="Class"/>
    <x:tableColumn id="6" name="AdmissionDate"/>
  </x:tableColumns>
  <x:tableStyleInfo name="TableStyleMedium2" showRowStripes="1"/>
</x:table>
</file>

<file path=xl/tables/table2.xml><?xml version="1.0" encoding="utf-8"?>
<x:table xmlns:x="http://schemas.openxmlformats.org/spreadsheetml/2006/main" id="2" name="ExamsTable" displayName="ExamsTable" ref="A1:D3" headerRowCount="1">
  <x:tableColumns count="4">
    <x:tableColumn id="1" name="ExamID"/>
    <x:tableColumn id="2" name="ExamName"/>
    <x:tableColumn id="3" name="Date"/>
    <x:tableColumn id="4" name="Term"/>
  </x:tableColumns>
  <x:tableStyleInfo name="TableStyleMedium2" showRowStripes="1"/>
</x:table>
</file>

<file path=xl/tables/table3.xml><?xml version="1.0" encoding="utf-8"?>
<x:table xmlns:x="http://schemas.openxmlformats.org/spreadsheetml/2006/main" id="3" name="TargetsTable" displayName="TargetsTable" ref="A1:C16" headerRowCount="1">
  <x:tableColumns count="3">
    <x:tableColumn id="1" name="Class"/>
    <x:tableColumn id="2" name="Subject"/>
    <x:tableColumn id="3" name="TargetScore"/>
  </x:tableColumns>
  <x:tableStyleInfo name="TableStyleMedium2" showRowStripes="1"/>
</x:table>
</file>

<file path=xl/tables/table4.xml><?xml version="1.0" encoding="utf-8"?>
<x:table xmlns:x="http://schemas.openxmlformats.org/spreadsheetml/2006/main" id="4" name="ScoresTable" displayName="ScoresTable" ref="A1:K301" headerRowCount="1">
  <x:tableColumns count="11">
    <x:tableColumn id="1" name="StudentID"/>
    <x:tableColumn id="2" name="Subject"/>
    <x:tableColumn id="3" name="ExamID"/>
    <x:tableColumn id="4" name="ExamName"/>
    <x:tableColumn id="5" name="Term"/>
    <x:tableColumn id="6" name="Score"/>
    <x:tableColumn id="7" name="MaxScore"/>
    <x:tableColumn id="8" name="Pass/Fail"/>
    <x:tableColumn id="9" name="Class"/>
    <x:tableColumn id="10" name="TargetScore"/>
    <x:tableColumn id="11" name="Meets Target"/>
  </x:tableColumns>
  <x:tableStyleInfo name="TableStyleMedium2" showRowStripes="1"/>
</x:table>
</file>

<file path=xl/tables/table5.xml><?xml version="1.0" encoding="utf-8"?>
<x:table xmlns:x="http://schemas.openxmlformats.org/spreadsheetml/2006/main" id="5" name="StudentSummaryTable" displayName="StudentSummaryTable" ref="A1:J31" headerRowCount="1">
  <x:tableColumns count="10">
    <x:tableColumn id="1" name="StudentID"/>
    <x:tableColumn id="2" name="First Name"/>
    <x:tableColumn id="3" name="Last Name"/>
    <x:tableColumn id="4" name="Class"/>
    <x:tableColumn id="5" name="Final Average"/>
    <x:tableColumn id="6" name="Final Pass Rate"/>
    <x:tableColumn id="7" name="English Final Score"/>
    <x:tableColumn id="8" name="English Target"/>
    <x:tableColumn id="9" name="English Target Status"/>
    <x:tableColumn id="10" name="Best Final Subj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bbef7aad4d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1855ded92948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041c75ebd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4d88327c824e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05482d2f4c4d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b126103390e4e79" /></Relationships>
</file>

<file path=xl/worksheets/sheet1.xml><?xml version="1.0" encoding="utf-8"?>
<x:worksheet xmlns:x="http://schemas.openxmlformats.org/spreadsheetml/2006/main">
  <x:sheetFormatPr defaultRowHeight="15"/>
  <x:cols>
    <x:col min="1" max="1" width="25.8799991607666" hidden="0" customWidth="1"/>
    <x:col min="2" max="2" width="55" hidden="0" customWidth="1"/>
  </x:cols>
  <x:sheetData>
    <x:row r="1">
      <x:c r="A1" s="18" t="str">
        <x:v>Scholar Insights Engine</x:v>
      </x:c>
      <x:c r="B1" s="18"/>
      <x:c r="C1" s="18"/>
      <x:c r="D1" s="18"/>
      <x:c r="E1" s="18"/>
      <x:c r="F1" s="18"/>
    </x:row>
    <x:row r="2">
      <x:c r="A2" s="19"/>
      <x:c r="B2" s="19"/>
      <x:c r="C2" s="19"/>
      <x:c r="D2" s="19"/>
      <x:c r="E2" s="19"/>
      <x:c r="F2" s="19"/>
    </x:row>
    <x:row r="3">
      <x:c r="A3" s="20" t="str">
        <x:v>Purpose</x:v>
      </x:c>
      <x:c r="B3" s="19" t="str">
        <x:v>Analyze student performance by class, subject, and exam using transparent formulas.</x:v>
      </x:c>
      <x:c r="C3" s="19"/>
      <x:c r="D3" s="19"/>
      <x:c r="E3" s="19"/>
      <x:c r="F3" s="19"/>
    </x:row>
    <x:row r="4">
      <x:c r="A4" s="20" t="str">
        <x:v>Correction 1</x:v>
      </x:c>
      <x:c r="B4" s="19" t="str">
        <x:v>Pass/Fail uses Score (column F), not Term.</x:v>
      </x:c>
      <x:c r="C4" s="19"/>
      <x:c r="D4" s="19"/>
      <x:c r="E4" s="19"/>
      <x:c r="F4" s="19"/>
    </x:row>
    <x:row r="5">
      <x:c r="A5" s="20" t="str">
        <x:v>Correction 2</x:v>
      </x:c>
      <x:c r="B5" s="19" t="str">
        <x:v>Target comparison uses both Class and Subject.</x:v>
      </x:c>
      <x:c r="C5" s="19"/>
      <x:c r="D5" s="19"/>
      <x:c r="E5" s="19"/>
      <x:c r="F5" s="19"/>
    </x:row>
    <x:row r="6">
      <x:c r="A6" s="20" t="str">
        <x:v>Data</x:v>
      </x:c>
      <x:c r="B6" s="19" t="str">
        <x:v>30 students, 2 exams, 300 score records, and 15 class-subject targets.</x:v>
      </x:c>
      <x:c r="C6" s="19"/>
      <x:c r="D6" s="19"/>
      <x:c r="E6" s="19"/>
      <x:c r="F6" s="19"/>
    </x:row>
    <x:row r="7">
      <x:c r="A7" s="20" t="str">
        <x:v>Navigation</x:v>
      </x:c>
      <x:c r="B7" s="19" t="str">
        <x:v>Use Student Summary and Class Summary for the main analysis.</x:v>
      </x:c>
      <x:c r="C7" s="19"/>
      <x:c r="D7" s="19"/>
      <x:c r="E7" s="19"/>
      <x:c r="F7" s="19"/>
    </x:row>
    <x:row r="8">
      <x:c r="A8" s="20" t="str">
        <x:v>Google Sheets</x:v>
      </x:c>
      <x:c r="B8" s="19" t="str">
        <x:v>Upload this file to Google Sheets and verify formulas after conversion.</x:v>
      </x:c>
      <x:c r="C8" s="19"/>
      <x:c r="D8" s="19"/>
      <x:c r="E8" s="19"/>
      <x:c r="F8" s="19"/>
    </x:row>
    <x:row r="9">
      <x:c r="A9" s="20"/>
      <x:c r="B9" s="19"/>
      <x:c r="C9" s="19"/>
      <x:c r="D9" s="19"/>
      <x:c r="E9" s="19"/>
      <x:c r="F9" s="19"/>
    </x:row>
    <x:row r="10">
      <x:c r="A10" s="20" t="str">
        <x:v>Formula design</x:v>
      </x:c>
      <x:c r="B10" s="19" t="str">
        <x:v>Ranges are bounded to the supplied records to avoid oversized full-column array formulas.</x:v>
      </x:c>
      <x:c r="C10" s="19"/>
      <x:c r="D10" s="19"/>
      <x:c r="E10" s="19"/>
      <x:c r="F10" s="1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9.75" hidden="0" customWidth="1"/>
    <x:col min="3" max="3" width="8.130000114440918" hidden="0" customWidth="1"/>
    <x:col min="4" max="4" width="6.25" hidden="0" customWidth="1"/>
    <x:col min="5" max="5" width="4.380000114440918" hidden="0" customWidth="1"/>
    <x:col min="6" max="6" width="12" hidden="0" customWidth="1"/>
  </x:cols>
  <x:sheetData>
    <x:row r="1">
      <x:c r="A1" s="27" t="str">
        <x:v>StudentID</x:v>
      </x:c>
      <x:c r="B1" s="27" t="str">
        <x:v>FirstName</x:v>
      </x:c>
      <x:c r="C1" s="27" t="str">
        <x:v>LastName</x:v>
      </x:c>
      <x:c r="D1" s="27" t="str">
        <x:v>Gender</x:v>
      </x:c>
      <x:c r="E1" s="27" t="str">
        <x:v>Class</x:v>
      </x:c>
      <x:c r="F1" s="27" t="str">
        <x:v>AdmissionDate</x:v>
      </x:c>
    </x:row>
    <x:row r="2">
      <x:c r="A2" t="str">
        <x:v>S001</x:v>
      </x:c>
      <x:c r="B2" t="str">
        <x:v>Aarav</x:v>
      </x:c>
      <x:c r="C2" t="str">
        <x:v>Sharma</x:v>
      </x:c>
      <x:c r="D2" t="str">
        <x:v>M</x:v>
      </x:c>
      <x:c r="E2" t="str">
        <x:v>12A</x:v>
      </x:c>
      <x:c r="F2" s="32" t="n">
        <x:v>45397</x:v>
      </x:c>
    </x:row>
    <x:row r="3">
      <x:c r="A3" t="str">
        <x:v>S002</x:v>
      </x:c>
      <x:c r="B3" t="str">
        <x:v>Vivaan</x:v>
      </x:c>
      <x:c r="C3" t="str">
        <x:v>Verma</x:v>
      </x:c>
      <x:c r="D3" t="str">
        <x:v>F</x:v>
      </x:c>
      <x:c r="E3" t="str">
        <x:v>12A</x:v>
      </x:c>
      <x:c r="F3" s="32" t="n">
        <x:v>45403</x:v>
      </x:c>
    </x:row>
    <x:row r="4">
      <x:c r="A4" t="str">
        <x:v>S003</x:v>
      </x:c>
      <x:c r="B4" t="str">
        <x:v>Aditya</x:v>
      </x:c>
      <x:c r="C4" t="str">
        <x:v>Gupta</x:v>
      </x:c>
      <x:c r="D4" t="str">
        <x:v>M</x:v>
      </x:c>
      <x:c r="E4" t="str">
        <x:v>12A</x:v>
      </x:c>
      <x:c r="F4" s="32" t="n">
        <x:v>45431</x:v>
      </x:c>
    </x:row>
    <x:row r="5">
      <x:c r="A5" t="str">
        <x:v>S004</x:v>
      </x:c>
      <x:c r="B5" t="str">
        <x:v>Vihaan</x:v>
      </x:c>
      <x:c r="C5" t="str">
        <x:v>Mehta</x:v>
      </x:c>
      <x:c r="D5" t="str">
        <x:v>M</x:v>
      </x:c>
      <x:c r="E5" t="str">
        <x:v>12C</x:v>
      </x:c>
      <x:c r="F5" s="32" t="n">
        <x:v>45454</x:v>
      </x:c>
    </x:row>
    <x:row r="6">
      <x:c r="A6" t="str">
        <x:v>S005</x:v>
      </x:c>
      <x:c r="B6" t="str">
        <x:v>Arjun</x:v>
      </x:c>
      <x:c r="C6" t="str">
        <x:v>Singh</x:v>
      </x:c>
      <x:c r="D6" t="str">
        <x:v>M</x:v>
      </x:c>
      <x:c r="E6" t="str">
        <x:v>12C</x:v>
      </x:c>
      <x:c r="F6" s="32" t="n">
        <x:v>44734</x:v>
      </x:c>
    </x:row>
    <x:row r="7">
      <x:c r="A7" t="str">
        <x:v>S006</x:v>
      </x:c>
      <x:c r="B7" t="str">
        <x:v>Reyansh</x:v>
      </x:c>
      <x:c r="C7" t="str">
        <x:v>Kapoor</x:v>
      </x:c>
      <x:c r="D7" t="str">
        <x:v>F</x:v>
      </x:c>
      <x:c r="E7" t="str">
        <x:v>12A</x:v>
      </x:c>
      <x:c r="F7" s="32" t="n">
        <x:v>44705</x:v>
      </x:c>
    </x:row>
    <x:row r="8">
      <x:c r="A8" t="str">
        <x:v>S007</x:v>
      </x:c>
      <x:c r="B8" t="str">
        <x:v>Muhammad</x:v>
      </x:c>
      <x:c r="C8" t="str">
        <x:v>Jain</x:v>
      </x:c>
      <x:c r="D8" t="str">
        <x:v>M</x:v>
      </x:c>
      <x:c r="E8" t="str">
        <x:v>12A</x:v>
      </x:c>
      <x:c r="F8" s="32" t="n">
        <x:v>45048</x:v>
      </x:c>
    </x:row>
    <x:row r="9">
      <x:c r="A9" t="str">
        <x:v>S008</x:v>
      </x:c>
      <x:c r="B9" t="str">
        <x:v>Sai</x:v>
      </x:c>
      <x:c r="C9" t="str">
        <x:v>Bhatia</x:v>
      </x:c>
      <x:c r="D9" t="str">
        <x:v>M</x:v>
      </x:c>
      <x:c r="E9" t="str">
        <x:v>12A</x:v>
      </x:c>
      <x:c r="F9" s="32" t="n">
        <x:v>44663</x:v>
      </x:c>
    </x:row>
    <x:row r="10">
      <x:c r="A10" t="str">
        <x:v>S009</x:v>
      </x:c>
      <x:c r="B10" t="str">
        <x:v>Atharv</x:v>
      </x:c>
      <x:c r="C10" t="str">
        <x:v>Kumar</x:v>
      </x:c>
      <x:c r="D10" t="str">
        <x:v>M</x:v>
      </x:c>
      <x:c r="E10" t="str">
        <x:v>12C</x:v>
      </x:c>
      <x:c r="F10" s="32" t="n">
        <x:v>45058</x:v>
      </x:c>
    </x:row>
    <x:row r="11">
      <x:c r="A11" t="str">
        <x:v>S010</x:v>
      </x:c>
      <x:c r="B11" t="str">
        <x:v>Ayaan</x:v>
      </x:c>
      <x:c r="C11" t="str">
        <x:v>Agarwal</x:v>
      </x:c>
      <x:c r="D11" t="str">
        <x:v>M</x:v>
      </x:c>
      <x:c r="E11" t="str">
        <x:v>12C</x:v>
      </x:c>
      <x:c r="F11" s="32" t="n">
        <x:v>44678</x:v>
      </x:c>
    </x:row>
    <x:row r="12">
      <x:c r="A12" t="str">
        <x:v>S011</x:v>
      </x:c>
      <x:c r="B12" t="str">
        <x:v>Ananya</x:v>
      </x:c>
      <x:c r="C12" t="str">
        <x:v>Chopra</x:v>
      </x:c>
      <x:c r="D12" t="str">
        <x:v>F</x:v>
      </x:c>
      <x:c r="E12" t="str">
        <x:v>12A</x:v>
      </x:c>
      <x:c r="F12" s="32" t="n">
        <x:v>45453</x:v>
      </x:c>
    </x:row>
    <x:row r="13">
      <x:c r="A13" t="str">
        <x:v>S012</x:v>
      </x:c>
      <x:c r="B13" t="str">
        <x:v>Aadhya</x:v>
      </x:c>
      <x:c r="C13" t="str">
        <x:v>Khanna</x:v>
      </x:c>
      <x:c r="D13" t="str">
        <x:v>F</x:v>
      </x:c>
      <x:c r="E13" t="str">
        <x:v>12C</x:v>
      </x:c>
      <x:c r="F13" s="32" t="n">
        <x:v>45427</x:v>
      </x:c>
    </x:row>
    <x:row r="14">
      <x:c r="A14" t="str">
        <x:v>S013</x:v>
      </x:c>
      <x:c r="B14" t="str">
        <x:v>Diya</x:v>
      </x:c>
      <x:c r="C14" t="str">
        <x:v>Ghosh</x:v>
      </x:c>
      <x:c r="D14" t="str">
        <x:v>F</x:v>
      </x:c>
      <x:c r="E14" t="str">
        <x:v>12A</x:v>
      </x:c>
      <x:c r="F14" s="32" t="n">
        <x:v>45089</x:v>
      </x:c>
    </x:row>
    <x:row r="15">
      <x:c r="A15" t="str">
        <x:v>S014</x:v>
      </x:c>
      <x:c r="B15" t="str">
        <x:v>Isha</x:v>
      </x:c>
      <x:c r="C15" t="str">
        <x:v>Iyer</x:v>
      </x:c>
      <x:c r="D15" t="str">
        <x:v>M</x:v>
      </x:c>
      <x:c r="E15" t="str">
        <x:v>12C</x:v>
      </x:c>
      <x:c r="F15" s="32" t="n">
        <x:v>45385</x:v>
      </x:c>
    </x:row>
    <x:row r="16">
      <x:c r="A16" t="str">
        <x:v>S015</x:v>
      </x:c>
      <x:c r="B16" t="str">
        <x:v>Myra</x:v>
      </x:c>
      <x:c r="C16" t="str">
        <x:v>Pillai</x:v>
      </x:c>
      <x:c r="D16" t="str">
        <x:v>F</x:v>
      </x:c>
      <x:c r="E16" t="str">
        <x:v>12B</x:v>
      </x:c>
      <x:c r="F16" s="32" t="n">
        <x:v>44719</x:v>
      </x:c>
    </x:row>
    <x:row r="17">
      <x:c r="A17" t="str">
        <x:v>S016</x:v>
      </x:c>
      <x:c r="B17" t="str">
        <x:v>Kiara</x:v>
      </x:c>
      <x:c r="C17" t="str">
        <x:v>Rao</x:v>
      </x:c>
      <x:c r="D17" t="str">
        <x:v>F</x:v>
      </x:c>
      <x:c r="E17" t="str">
        <x:v>12A</x:v>
      </x:c>
      <x:c r="F17" s="32" t="n">
        <x:v>44658</x:v>
      </x:c>
    </x:row>
    <x:row r="18">
      <x:c r="A18" t="str">
        <x:v>S017</x:v>
      </x:c>
      <x:c r="B18" t="str">
        <x:v>Pihu</x:v>
      </x:c>
      <x:c r="C18" t="str">
        <x:v>Das</x:v>
      </x:c>
      <x:c r="D18" t="str">
        <x:v>M</x:v>
      </x:c>
      <x:c r="E18" t="str">
        <x:v>12B</x:v>
      </x:c>
      <x:c r="F18" s="32" t="n">
        <x:v>45044</x:v>
      </x:c>
    </x:row>
    <x:row r="19">
      <x:c r="A19" t="str">
        <x:v>S018</x:v>
      </x:c>
      <x:c r="B19" t="str">
        <x:v>Riya</x:v>
      </x:c>
      <x:c r="C19" t="str">
        <x:v>Patel</x:v>
      </x:c>
      <x:c r="D19" t="str">
        <x:v>M</x:v>
      </x:c>
      <x:c r="E19" t="str">
        <x:v>12A</x:v>
      </x:c>
      <x:c r="F19" s="32" t="n">
        <x:v>45072</x:v>
      </x:c>
    </x:row>
    <x:row r="20">
      <x:c r="A20" t="str">
        <x:v>S019</x:v>
      </x:c>
      <x:c r="B20" t="str">
        <x:v>Saanvi</x:v>
      </x:c>
      <x:c r="C20" t="str">
        <x:v>Kulkarni</x:v>
      </x:c>
      <x:c r="D20" t="str">
        <x:v>F</x:v>
      </x:c>
      <x:c r="E20" t="str">
        <x:v>12A</x:v>
      </x:c>
      <x:c r="F20" s="32" t="n">
        <x:v>44702</x:v>
      </x:c>
    </x:row>
    <x:row r="21">
      <x:c r="A21" t="str">
        <x:v>S020</x:v>
      </x:c>
      <x:c r="B21" t="str">
        <x:v>Zara</x:v>
      </x:c>
      <x:c r="C21" t="str">
        <x:v>Naidu</x:v>
      </x:c>
      <x:c r="D21" t="str">
        <x:v>F</x:v>
      </x:c>
      <x:c r="E21" t="str">
        <x:v>12B</x:v>
      </x:c>
      <x:c r="F21" s="32" t="n">
        <x:v>45105</x:v>
      </x:c>
    </x:row>
    <x:row r="22">
      <x:c r="A22" t="str">
        <x:v>S021</x:v>
      </x:c>
      <x:c r="B22" t="str">
        <x:v>Kabir</x:v>
      </x:c>
      <x:c r="C22" t="str">
        <x:v>Banerjee</x:v>
      </x:c>
      <x:c r="D22" t="str">
        <x:v>F</x:v>
      </x:c>
      <x:c r="E22" t="str">
        <x:v>12A</x:v>
      </x:c>
      <x:c r="F22" s="32" t="n">
        <x:v>45390</x:v>
      </x:c>
    </x:row>
    <x:row r="23">
      <x:c r="A23" t="str">
        <x:v>S022</x:v>
      </x:c>
      <x:c r="B23" t="str">
        <x:v>Rohan</x:v>
      </x:c>
      <x:c r="C23" t="str">
        <x:v>Roy</x:v>
      </x:c>
      <x:c r="D23" t="str">
        <x:v>F</x:v>
      </x:c>
      <x:c r="E23" t="str">
        <x:v>12C</x:v>
      </x:c>
      <x:c r="F23" s="32" t="n">
        <x:v>45457</x:v>
      </x:c>
    </x:row>
    <x:row r="24">
      <x:c r="A24" t="str">
        <x:v>S023</x:v>
      </x:c>
      <x:c r="B24" t="str">
        <x:v>Ishaan</x:v>
      </x:c>
      <x:c r="C24" t="str">
        <x:v>Sen</x:v>
      </x:c>
      <x:c r="D24" t="str">
        <x:v>M</x:v>
      </x:c>
      <x:c r="E24" t="str">
        <x:v>12B</x:v>
      </x:c>
      <x:c r="F24" s="32" t="n">
        <x:v>44689</x:v>
      </x:c>
    </x:row>
    <x:row r="25">
      <x:c r="A25" t="str">
        <x:v>S024</x:v>
      </x:c>
      <x:c r="B25" t="str">
        <x:v>Kunal</x:v>
      </x:c>
      <x:c r="C25" t="str">
        <x:v>Mishra</x:v>
      </x:c>
      <x:c r="D25" t="str">
        <x:v>M</x:v>
      </x:c>
      <x:c r="E25" t="str">
        <x:v>12C</x:v>
      </x:c>
      <x:c r="F25" s="32" t="n">
        <x:v>45052</x:v>
      </x:c>
    </x:row>
    <x:row r="26">
      <x:c r="A26" t="str">
        <x:v>S025</x:v>
      </x:c>
      <x:c r="B26" t="str">
        <x:v>Lakshay</x:v>
      </x:c>
      <x:c r="C26" t="str">
        <x:v>Tripathi</x:v>
      </x:c>
      <x:c r="D26" t="str">
        <x:v>F</x:v>
      </x:c>
      <x:c r="E26" t="str">
        <x:v>12C</x:v>
      </x:c>
      <x:c r="F26" s="32" t="n">
        <x:v>45050</x:v>
      </x:c>
    </x:row>
    <x:row r="27">
      <x:c r="A27" t="str">
        <x:v>S026</x:v>
      </x:c>
      <x:c r="B27" t="str">
        <x:v>Mihir</x:v>
      </x:c>
      <x:c r="C27" t="str">
        <x:v>Pandey</x:v>
      </x:c>
      <x:c r="D27" t="str">
        <x:v>F</x:v>
      </x:c>
      <x:c r="E27" t="str">
        <x:v>12C</x:v>
      </x:c>
      <x:c r="F27" s="32" t="n">
        <x:v>45034</x:v>
      </x:c>
    </x:row>
    <x:row r="28">
      <x:c r="A28" t="str">
        <x:v>S027</x:v>
      </x:c>
      <x:c r="B28" t="str">
        <x:v>Nikhil</x:v>
      </x:c>
      <x:c r="C28" t="str">
        <x:v>Yadav</x:v>
      </x:c>
      <x:c r="D28" t="str">
        <x:v>M</x:v>
      </x:c>
      <x:c r="E28" t="str">
        <x:v>12C</x:v>
      </x:c>
      <x:c r="F28" s="32" t="n">
        <x:v>45056</x:v>
      </x:c>
    </x:row>
    <x:row r="29">
      <x:c r="A29" t="str">
        <x:v>S028</x:v>
      </x:c>
      <x:c r="B29" t="str">
        <x:v>Parth</x:v>
      </x:c>
      <x:c r="C29" t="str">
        <x:v>Thakur</x:v>
      </x:c>
      <x:c r="D29" t="str">
        <x:v>M</x:v>
      </x:c>
      <x:c r="E29" t="str">
        <x:v>12A</x:v>
      </x:c>
      <x:c r="F29" s="32" t="n">
        <x:v>45062</x:v>
      </x:c>
    </x:row>
    <x:row r="30">
      <x:c r="A30" t="str">
        <x:v>S029</x:v>
      </x:c>
      <x:c r="B30" t="str">
        <x:v>Rudra</x:v>
      </x:c>
      <x:c r="C30" t="str">
        <x:v>Saxena</x:v>
      </x:c>
      <x:c r="D30" t="str">
        <x:v>M</x:v>
      </x:c>
      <x:c r="E30" t="str">
        <x:v>12B</x:v>
      </x:c>
      <x:c r="F30" s="32" t="n">
        <x:v>45435</x:v>
      </x:c>
    </x:row>
    <x:row r="31">
      <x:c r="A31" t="str">
        <x:v>S030</x:v>
      </x:c>
      <x:c r="B31" t="str">
        <x:v>Yash</x:v>
      </x:c>
      <x:c r="C31" t="str">
        <x:v>Bose</x:v>
      </x:c>
      <x:c r="D31" t="str">
        <x:v>M</x:v>
      </x:c>
      <x:c r="E31" t="str">
        <x:v>12A</x:v>
      </x:c>
      <x:c r="F31" s="32" t="n">
        <x:v>44689</x:v>
      </x:c>
    </x:row>
  </x:sheetData>
  <x:pageMargins left="0.7" right="0.7" top="0.75" bottom="0.75" header="0.3" footer="0.3"/>
  <x:tableParts count="1">
    <x:tablePart xmlns:r="http://schemas.openxmlformats.org/officeDocument/2006/relationships" r:id="R47bbef7aad4d43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9.25" hidden="0" customWidth="1"/>
    <x:col min="3" max="3" width="9.130000114440918" hidden="0" customWidth="1"/>
    <x:col min="4" max="4" width="5.630000114440918" hidden="0" customWidth="1"/>
  </x:cols>
  <x:sheetData>
    <x:row r="1">
      <x:c r="A1" s="27" t="str">
        <x:v>ExamID</x:v>
      </x:c>
      <x:c r="B1" s="27" t="str">
        <x:v>ExamName</x:v>
      </x:c>
      <x:c r="C1" s="27" t="str">
        <x:v>Date</x:v>
      </x:c>
      <x:c r="D1" s="27" t="str">
        <x:v>Term</x:v>
      </x:c>
    </x:row>
    <x:row r="2">
      <x:c r="A2" t="str">
        <x:v>E101</x:v>
      </x:c>
      <x:c r="B2" t="str">
        <x:v>Midterm</x:v>
      </x:c>
      <x:c r="C2" s="32" t="n">
        <x:v>45853</x:v>
      </x:c>
      <x:c r="D2" t="str">
        <x:v>Term 1</x:v>
      </x:c>
    </x:row>
    <x:row r="3">
      <x:c r="A3" t="str">
        <x:v>E102</x:v>
      </x:c>
      <x:c r="B3" t="str">
        <x:v>Final</x:v>
      </x:c>
      <x:c r="C3" s="32" t="n">
        <x:v>45930</x:v>
      </x:c>
      <x:c r="D3" t="str">
        <x:v>Term 2</x:v>
      </x:c>
    </x:row>
  </x:sheetData>
  <x:pageMargins left="0.7" right="0.7" top="0.75" bottom="0.75" header="0.3" footer="0.3"/>
  <x:tableParts count="1">
    <x:tablePart xmlns:r="http://schemas.openxmlformats.org/officeDocument/2006/relationships" r:id="R791855ded92948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14" hidden="0" customWidth="1"/>
    <x:col min="3" max="3" width="9.380000114440918" hidden="0" customWidth="1"/>
  </x:cols>
  <x:sheetData>
    <x:row r="1">
      <x:c r="A1" s="27" t="str">
        <x:v>Class</x:v>
      </x:c>
      <x:c r="B1" s="27" t="str">
        <x:v>Subject</x:v>
      </x:c>
      <x:c r="C1" s="27" t="str">
        <x:v>TargetScore</x:v>
      </x:c>
    </x:row>
    <x:row r="2">
      <x:c r="A2" t="str">
        <x:v>12A</x:v>
      </x:c>
      <x:c r="B2" t="str">
        <x:v>Maths</x:v>
      </x:c>
      <x:c r="C2" s="34" t="n">
        <x:v>70</x:v>
      </x:c>
    </x:row>
    <x:row r="3">
      <x:c r="A3" t="str">
        <x:v>12A</x:v>
      </x:c>
      <x:c r="B3" t="str">
        <x:v>Physics</x:v>
      </x:c>
      <x:c r="C3" s="34" t="n">
        <x:v>60</x:v>
      </x:c>
    </x:row>
    <x:row r="4">
      <x:c r="A4" t="str">
        <x:v>12A</x:v>
      </x:c>
      <x:c r="B4" t="str">
        <x:v>Chemistry</x:v>
      </x:c>
      <x:c r="C4" s="34" t="n">
        <x:v>60</x:v>
      </x:c>
    </x:row>
    <x:row r="5">
      <x:c r="A5" t="str">
        <x:v>12A</x:v>
      </x:c>
      <x:c r="B5" t="str">
        <x:v>English</x:v>
      </x:c>
      <x:c r="C5" s="34" t="n">
        <x:v>60</x:v>
      </x:c>
    </x:row>
    <x:row r="6">
      <x:c r="A6" t="str">
        <x:v>12A</x:v>
      </x:c>
      <x:c r="B6" t="str">
        <x:v>Computer Science</x:v>
      </x:c>
      <x:c r="C6" s="34" t="n">
        <x:v>80</x:v>
      </x:c>
    </x:row>
    <x:row r="7">
      <x:c r="A7" t="str">
        <x:v>12B</x:v>
      </x:c>
      <x:c r="B7" t="str">
        <x:v>Maths</x:v>
      </x:c>
      <x:c r="C7" s="34" t="n">
        <x:v>75</x:v>
      </x:c>
    </x:row>
    <x:row r="8">
      <x:c r="A8" t="str">
        <x:v>12B</x:v>
      </x:c>
      <x:c r="B8" t="str">
        <x:v>Physics</x:v>
      </x:c>
      <x:c r="C8" s="34" t="n">
        <x:v>80</x:v>
      </x:c>
    </x:row>
    <x:row r="9">
      <x:c r="A9" t="str">
        <x:v>12B</x:v>
      </x:c>
      <x:c r="B9" t="str">
        <x:v>Chemistry</x:v>
      </x:c>
      <x:c r="C9" s="34" t="n">
        <x:v>75</x:v>
      </x:c>
    </x:row>
    <x:row r="10">
      <x:c r="A10" t="str">
        <x:v>12B</x:v>
      </x:c>
      <x:c r="B10" t="str">
        <x:v>English</x:v>
      </x:c>
      <x:c r="C10" s="34" t="n">
        <x:v>80</x:v>
      </x:c>
    </x:row>
    <x:row r="11">
      <x:c r="A11" t="str">
        <x:v>12B</x:v>
      </x:c>
      <x:c r="B11" t="str">
        <x:v>Computer Science</x:v>
      </x:c>
      <x:c r="C11" s="34" t="n">
        <x:v>80</x:v>
      </x:c>
    </x:row>
    <x:row r="12">
      <x:c r="A12" t="str">
        <x:v>12C</x:v>
      </x:c>
      <x:c r="B12" t="str">
        <x:v>Maths</x:v>
      </x:c>
      <x:c r="C12" s="34" t="n">
        <x:v>70</x:v>
      </x:c>
    </x:row>
    <x:row r="13">
      <x:c r="A13" t="str">
        <x:v>12C</x:v>
      </x:c>
      <x:c r="B13" t="str">
        <x:v>Physics</x:v>
      </x:c>
      <x:c r="C13" s="34" t="n">
        <x:v>80</x:v>
      </x:c>
    </x:row>
    <x:row r="14">
      <x:c r="A14" t="str">
        <x:v>12C</x:v>
      </x:c>
      <x:c r="B14" t="str">
        <x:v>Chemistry</x:v>
      </x:c>
      <x:c r="C14" s="34" t="n">
        <x:v>65</x:v>
      </x:c>
    </x:row>
    <x:row r="15">
      <x:c r="A15" t="str">
        <x:v>12C</x:v>
      </x:c>
      <x:c r="B15" t="str">
        <x:v>English</x:v>
      </x:c>
      <x:c r="C15" s="34" t="n">
        <x:v>70</x:v>
      </x:c>
    </x:row>
    <x:row r="16">
      <x:c r="A16" t="str">
        <x:v>12C</x:v>
      </x:c>
      <x:c r="B16" t="str">
        <x:v>Computer Science</x:v>
      </x:c>
      <x:c r="C16" s="34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21b041c75ebd45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4" hidden="0" customWidth="1"/>
    <x:col min="3" max="3" width="6.25" hidden="0" customWidth="1"/>
    <x:col min="4" max="4" width="9.25" hidden="0" customWidth="1"/>
    <x:col min="5" max="5" width="5.630000114440918" hidden="0" customWidth="1"/>
    <x:col min="6" max="6" width="4.75" hidden="0" customWidth="1"/>
    <x:col min="7" max="7" width="8" hidden="0" customWidth="1"/>
    <x:col min="8" max="8" width="7.25" hidden="0" customWidth="1"/>
    <x:col min="9" max="9" width="4.380000114440918" hidden="0" customWidth="1"/>
    <x:col min="10" max="10" width="9.380000114440918" hidden="0" customWidth="1"/>
    <x:col min="11" max="11" width="10.5" hidden="0" customWidth="1"/>
  </x:cols>
  <x:sheetData>
    <x:row r="1">
      <x:c r="A1" s="27" t="str">
        <x:v>StudentID</x:v>
      </x:c>
      <x:c r="B1" s="27" t="str">
        <x:v>Subject</x:v>
      </x:c>
      <x:c r="C1" s="27" t="str">
        <x:v>ExamID</x:v>
      </x:c>
      <x:c r="D1" s="27" t="str">
        <x:v>ExamName</x:v>
      </x:c>
      <x:c r="E1" s="27" t="str">
        <x:v>Term</x:v>
      </x:c>
      <x:c r="F1" s="27" t="str">
        <x:v>Score</x:v>
      </x:c>
      <x:c r="G1" s="27" t="str">
        <x:v>MaxScore</x:v>
      </x:c>
      <x:c r="H1" s="27" t="str">
        <x:v>Pass/Fail</x:v>
      </x:c>
      <x:c r="I1" s="27" t="str">
        <x:v>Class</x:v>
      </x:c>
      <x:c r="J1" s="27" t="str">
        <x:v>TargetScore</x:v>
      </x:c>
      <x:c r="K1" s="27" t="str">
        <x:v>Meets Target</x:v>
      </x:c>
    </x:row>
    <x:row r="2">
      <x:c r="A2" t="str">
        <x:v>S001</x:v>
      </x:c>
      <x:c r="B2" t="str">
        <x:v>Maths</x:v>
      </x:c>
      <x:c r="C2" t="str">
        <x:v>E101</x:v>
      </x:c>
      <x:c r="D2" t="str">
        <x:v>Midterm</x:v>
      </x:c>
      <x:c r="E2" t="str">
        <x:v>Term 1</x:v>
      </x:c>
      <x:c r="F2" s="34" t="n">
        <x:v>76.4</x:v>
      </x:c>
      <x:c r="G2" s="34" t="n">
        <x:v>100</x:v>
      </x:c>
      <x:c r="H2" t="str">
        <x:f>IF(F2="","",IF(F2&gt;=40,"Pass","Fail"))</x:f>
        <x:v>Pass</x:v>
      </x:c>
      <x:c r="I2" t="str">
        <x:f>VLOOKUP(A2,Students!$A$2:$F$31,5,FALSE)</x:f>
        <x:v>12A</x:v>
      </x:c>
      <x:c r="J2" t="n">
        <x:f>SUMIFS(Targets!$C$2:$C$16,Targets!$A$2:$A$16,I2,Targets!$B$2:$B$16,B2)</x:f>
        <x:v>70</x:v>
      </x:c>
      <x:c r="K2" t="str">
        <x:f>IF(F2&gt;=J2,"Yes","No")</x:f>
        <x:v>Yes</x:v>
      </x:c>
    </x:row>
    <x:row r="3">
      <x:c r="A3" t="str">
        <x:v>S001</x:v>
      </x:c>
      <x:c r="B3" t="str">
        <x:v>Physics</x:v>
      </x:c>
      <x:c r="C3" t="str">
        <x:v>E101</x:v>
      </x:c>
      <x:c r="D3" t="str">
        <x:v>Midterm</x:v>
      </x:c>
      <x:c r="E3" t="str">
        <x:v>Term 1</x:v>
      </x:c>
      <x:c r="F3" s="34" t="n">
        <x:v>92.2</x:v>
      </x:c>
      <x:c r="G3" s="34" t="n">
        <x:v>100</x:v>
      </x:c>
      <x:c r="H3" t="str">
        <x:f>IF(F3="","",IF(F3&gt;=40,"Pass","Fail"))</x:f>
        <x:v>Pass</x:v>
      </x:c>
      <x:c r="I3" t="str">
        <x:f>VLOOKUP(A3,Students!$A$2:$F$31,5,FALSE)</x:f>
        <x:v>12A</x:v>
      </x:c>
      <x:c r="J3" t="n">
        <x:f>SUMIFS(Targets!$C$2:$C$16,Targets!$A$2:$A$16,I3,Targets!$B$2:$B$16,B3)</x:f>
        <x:v>60</x:v>
      </x:c>
      <x:c r="K3" t="str">
        <x:f>IF(F3&gt;=J3,"Yes","No")</x:f>
        <x:v>Yes</x:v>
      </x:c>
    </x:row>
    <x:row r="4">
      <x:c r="A4" t="str">
        <x:v>S001</x:v>
      </x:c>
      <x:c r="B4" t="str">
        <x:v>Chemistry</x:v>
      </x:c>
      <x:c r="C4" t="str">
        <x:v>E101</x:v>
      </x:c>
      <x:c r="D4" t="str">
        <x:v>Midterm</x:v>
      </x:c>
      <x:c r="E4" t="str">
        <x:v>Term 1</x:v>
      </x:c>
      <x:c r="F4" s="34" t="n">
        <x:v>81.5</x:v>
      </x:c>
      <x:c r="G4" s="34" t="n">
        <x:v>100</x:v>
      </x:c>
      <x:c r="H4" t="str">
        <x:f>IF(F4="","",IF(F4&gt;=40,"Pass","Fail"))</x:f>
        <x:v>Pass</x:v>
      </x:c>
      <x:c r="I4" t="str">
        <x:f>VLOOKUP(A4,Students!$A$2:$F$31,5,FALSE)</x:f>
        <x:v>12A</x:v>
      </x:c>
      <x:c r="J4" t="n">
        <x:f>SUMIFS(Targets!$C$2:$C$16,Targets!$A$2:$A$16,I4,Targets!$B$2:$B$16,B4)</x:f>
        <x:v>60</x:v>
      </x:c>
      <x:c r="K4" t="str">
        <x:f>IF(F4&gt;=J4,"Yes","No")</x:f>
        <x:v>Yes</x:v>
      </x:c>
    </x:row>
    <x:row r="5">
      <x:c r="A5" t="str">
        <x:v>S001</x:v>
      </x:c>
      <x:c r="B5" t="str">
        <x:v>English</x:v>
      </x:c>
      <x:c r="C5" t="str">
        <x:v>E101</x:v>
      </x:c>
      <x:c r="D5" t="str">
        <x:v>Midterm</x:v>
      </x:c>
      <x:c r="E5" t="str">
        <x:v>Term 1</x:v>
      </x:c>
      <x:c r="F5" s="34" t="n">
        <x:v>76.7</x:v>
      </x:c>
      <x:c r="G5" s="34" t="n">
        <x:v>100</x:v>
      </x:c>
      <x:c r="H5" t="str">
        <x:f>IF(F5="","",IF(F5&gt;=40,"Pass","Fail"))</x:f>
        <x:v>Pass</x:v>
      </x:c>
      <x:c r="I5" t="str">
        <x:f>VLOOKUP(A5,Students!$A$2:$F$31,5,FALSE)</x:f>
        <x:v>12A</x:v>
      </x:c>
      <x:c r="J5" t="n">
        <x:f>SUMIFS(Targets!$C$2:$C$16,Targets!$A$2:$A$16,I5,Targets!$B$2:$B$16,B5)</x:f>
        <x:v>60</x:v>
      </x:c>
      <x:c r="K5" t="str">
        <x:f>IF(F5&gt;=J5,"Yes","No")</x:f>
        <x:v>Yes</x:v>
      </x:c>
    </x:row>
    <x:row r="6">
      <x:c r="A6" t="str">
        <x:v>S001</x:v>
      </x:c>
      <x:c r="B6" t="str">
        <x:v>Computer Science</x:v>
      </x:c>
      <x:c r="C6" t="str">
        <x:v>E101</x:v>
      </x:c>
      <x:c r="D6" t="str">
        <x:v>Midterm</x:v>
      </x:c>
      <x:c r="E6" t="str">
        <x:v>Term 1</x:v>
      </x:c>
      <x:c r="F6" s="34" t="n">
        <x:v>78</x:v>
      </x:c>
      <x:c r="G6" s="34" t="n">
        <x:v>100</x:v>
      </x:c>
      <x:c r="H6" t="str">
        <x:f>IF(F6="","",IF(F6&gt;=40,"Pass","Fail"))</x:f>
        <x:v>Pass</x:v>
      </x:c>
      <x:c r="I6" t="str">
        <x:f>VLOOKUP(A6,Students!$A$2:$F$31,5,FALSE)</x:f>
        <x:v>12A</x:v>
      </x:c>
      <x:c r="J6" t="n">
        <x:f>SUMIFS(Targets!$C$2:$C$16,Targets!$A$2:$A$16,I6,Targets!$B$2:$B$16,B6)</x:f>
        <x:v>80</x:v>
      </x:c>
      <x:c r="K6" t="str">
        <x:f>IF(F6&gt;=J6,"Yes","No")</x:f>
        <x:v>No</x:v>
      </x:c>
    </x:row>
    <x:row r="7">
      <x:c r="A7" t="str">
        <x:v>S001</x:v>
      </x:c>
      <x:c r="B7" t="str">
        <x:v>Maths</x:v>
      </x:c>
      <x:c r="C7" t="str">
        <x:v>E102</x:v>
      </x:c>
      <x:c r="D7" t="str">
        <x:v>Final</x:v>
      </x:c>
      <x:c r="E7" t="str">
        <x:v>Term 2</x:v>
      </x:c>
      <x:c r="F7" s="34" t="n">
        <x:v>60.3</x:v>
      </x:c>
      <x:c r="G7" s="34" t="n">
        <x:v>100</x:v>
      </x:c>
      <x:c r="H7" t="str">
        <x:f>IF(F7="","",IF(F7&gt;=40,"Pass","Fail"))</x:f>
        <x:v>Pass</x:v>
      </x:c>
      <x:c r="I7" t="str">
        <x:f>VLOOKUP(A7,Students!$A$2:$F$31,5,FALSE)</x:f>
        <x:v>12A</x:v>
      </x:c>
      <x:c r="J7" t="n">
        <x:f>SUMIFS(Targets!$C$2:$C$16,Targets!$A$2:$A$16,I7,Targets!$B$2:$B$16,B7)</x:f>
        <x:v>70</x:v>
      </x:c>
      <x:c r="K7" t="str">
        <x:f>IF(F7&gt;=J7,"Yes","No")</x:f>
        <x:v>No</x:v>
      </x:c>
    </x:row>
    <x:row r="8">
      <x:c r="A8" t="str">
        <x:v>S001</x:v>
      </x:c>
      <x:c r="B8" t="str">
        <x:v>Physics</x:v>
      </x:c>
      <x:c r="C8" t="str">
        <x:v>E102</x:v>
      </x:c>
      <x:c r="D8" t="str">
        <x:v>Final</x:v>
      </x:c>
      <x:c r="E8" t="str">
        <x:v>Term 2</x:v>
      </x:c>
      <x:c r="F8" s="34" t="n">
        <x:v>58.3</x:v>
      </x:c>
      <x:c r="G8" s="34" t="n">
        <x:v>100</x:v>
      </x:c>
      <x:c r="H8" t="str">
        <x:f>IF(F8="","",IF(F8&gt;=40,"Pass","Fail"))</x:f>
        <x:v>Pass</x:v>
      </x:c>
      <x:c r="I8" t="str">
        <x:f>VLOOKUP(A8,Students!$A$2:$F$31,5,FALSE)</x:f>
        <x:v>12A</x:v>
      </x:c>
      <x:c r="J8" t="n">
        <x:f>SUMIFS(Targets!$C$2:$C$16,Targets!$A$2:$A$16,I8,Targets!$B$2:$B$16,B8)</x:f>
        <x:v>60</x:v>
      </x:c>
      <x:c r="K8" t="str">
        <x:f>IF(F8&gt;=J8,"Yes","No")</x:f>
        <x:v>No</x:v>
      </x:c>
    </x:row>
    <x:row r="9">
      <x:c r="A9" t="str">
        <x:v>S001</x:v>
      </x:c>
      <x:c r="B9" t="str">
        <x:v>Chemistry</x:v>
      </x:c>
      <x:c r="C9" t="str">
        <x:v>E102</x:v>
      </x:c>
      <x:c r="D9" t="str">
        <x:v>Final</x:v>
      </x:c>
      <x:c r="E9" t="str">
        <x:v>Term 2</x:v>
      </x:c>
      <x:c r="F9" s="34" t="n">
        <x:v>52</x:v>
      </x:c>
      <x:c r="G9" s="34" t="n">
        <x:v>100</x:v>
      </x:c>
      <x:c r="H9" t="str">
        <x:f>IF(F9="","",IF(F9&gt;=40,"Pass","Fail"))</x:f>
        <x:v>Pass</x:v>
      </x:c>
      <x:c r="I9" t="str">
        <x:f>VLOOKUP(A9,Students!$A$2:$F$31,5,FALSE)</x:f>
        <x:v>12A</x:v>
      </x:c>
      <x:c r="J9" t="n">
        <x:f>SUMIFS(Targets!$C$2:$C$16,Targets!$A$2:$A$16,I9,Targets!$B$2:$B$16,B9)</x:f>
        <x:v>60</x:v>
      </x:c>
      <x:c r="K9" t="str">
        <x:f>IF(F9&gt;=J9,"Yes","No")</x:f>
        <x:v>No</x:v>
      </x:c>
    </x:row>
    <x:row r="10">
      <x:c r="A10" t="str">
        <x:v>S001</x:v>
      </x:c>
      <x:c r="B10" t="str">
        <x:v>English</x:v>
      </x:c>
      <x:c r="C10" t="str">
        <x:v>E102</x:v>
      </x:c>
      <x:c r="D10" t="str">
        <x:v>Final</x:v>
      </x:c>
      <x:c r="E10" t="str">
        <x:v>Term 2</x:v>
      </x:c>
      <x:c r="F10" s="34" t="n">
        <x:v>62.1</x:v>
      </x:c>
      <x:c r="G10" s="34" t="n">
        <x:v>100</x:v>
      </x:c>
      <x:c r="H10" t="str">
        <x:f>IF(F10="","",IF(F10&gt;=40,"Pass","Fail"))</x:f>
        <x:v>Pass</x:v>
      </x:c>
      <x:c r="I10" t="str">
        <x:f>VLOOKUP(A10,Students!$A$2:$F$31,5,FALSE)</x:f>
        <x:v>12A</x:v>
      </x:c>
      <x:c r="J10" t="n">
        <x:f>SUMIFS(Targets!$C$2:$C$16,Targets!$A$2:$A$16,I10,Targets!$B$2:$B$16,B10)</x:f>
        <x:v>60</x:v>
      </x:c>
      <x:c r="K10" t="str">
        <x:f>IF(F10&gt;=J10,"Yes","No")</x:f>
        <x:v>Yes</x:v>
      </x:c>
    </x:row>
    <x:row r="11">
      <x:c r="A11" t="str">
        <x:v>S001</x:v>
      </x:c>
      <x:c r="B11" t="str">
        <x:v>Computer Science</x:v>
      </x:c>
      <x:c r="C11" t="str">
        <x:v>E102</x:v>
      </x:c>
      <x:c r="D11" t="str">
        <x:v>Final</x:v>
      </x:c>
      <x:c r="E11" t="str">
        <x:v>Term 2</x:v>
      </x:c>
      <x:c r="F11" s="34" t="n">
        <x:v>80.1</x:v>
      </x:c>
      <x:c r="G11" s="34" t="n">
        <x:v>100</x:v>
      </x:c>
      <x:c r="H11" t="str">
        <x:f>IF(F11="","",IF(F11&gt;=40,"Pass","Fail"))</x:f>
        <x:v>Pass</x:v>
      </x:c>
      <x:c r="I11" t="str">
        <x:f>VLOOKUP(A11,Students!$A$2:$F$31,5,FALSE)</x:f>
        <x:v>12A</x:v>
      </x:c>
      <x:c r="J11" t="n">
        <x:f>SUMIFS(Targets!$C$2:$C$16,Targets!$A$2:$A$16,I11,Targets!$B$2:$B$16,B11)</x:f>
        <x:v>80</x:v>
      </x:c>
      <x:c r="K11" t="str">
        <x:f>IF(F11&gt;=J11,"Yes","No")</x:f>
        <x:v>Yes</x:v>
      </x:c>
    </x:row>
    <x:row r="12">
      <x:c r="A12" t="str">
        <x:v>S002</x:v>
      </x:c>
      <x:c r="B12" t="str">
        <x:v>Maths</x:v>
      </x:c>
      <x:c r="C12" t="str">
        <x:v>E101</x:v>
      </x:c>
      <x:c r="D12" t="str">
        <x:v>Midterm</x:v>
      </x:c>
      <x:c r="E12" t="str">
        <x:v>Term 1</x:v>
      </x:c>
      <x:c r="F12" s="34" t="n">
        <x:v>63.5</x:v>
      </x:c>
      <x:c r="G12" s="34" t="n">
        <x:v>100</x:v>
      </x:c>
      <x:c r="H12" t="str">
        <x:f>IF(F12="","",IF(F12&gt;=40,"Pass","Fail"))</x:f>
        <x:v>Pass</x:v>
      </x:c>
      <x:c r="I12" t="str">
        <x:f>VLOOKUP(A12,Students!$A$2:$F$31,5,FALSE)</x:f>
        <x:v>12A</x:v>
      </x:c>
      <x:c r="J12" t="n">
        <x:f>SUMIFS(Targets!$C$2:$C$16,Targets!$A$2:$A$16,I12,Targets!$B$2:$B$16,B12)</x:f>
        <x:v>70</x:v>
      </x:c>
      <x:c r="K12" t="str">
        <x:f>IF(F12&gt;=J12,"Yes","No")</x:f>
        <x:v>No</x:v>
      </x:c>
    </x:row>
    <x:row r="13">
      <x:c r="A13" t="str">
        <x:v>S002</x:v>
      </x:c>
      <x:c r="B13" t="str">
        <x:v>Physics</x:v>
      </x:c>
      <x:c r="C13" t="str">
        <x:v>E101</x:v>
      </x:c>
      <x:c r="D13" t="str">
        <x:v>Midterm</x:v>
      </x:c>
      <x:c r="E13" t="str">
        <x:v>Term 1</x:v>
      </x:c>
      <x:c r="F13" s="34" t="n">
        <x:v>70.8</x:v>
      </x:c>
      <x:c r="G13" s="34" t="n">
        <x:v>100</x:v>
      </x:c>
      <x:c r="H13" t="str">
        <x:f>IF(F13="","",IF(F13&gt;=40,"Pass","Fail"))</x:f>
        <x:v>Pass</x:v>
      </x:c>
      <x:c r="I13" t="str">
        <x:f>VLOOKUP(A13,Students!$A$2:$F$31,5,FALSE)</x:f>
        <x:v>12A</x:v>
      </x:c>
      <x:c r="J13" t="n">
        <x:f>SUMIFS(Targets!$C$2:$C$16,Targets!$A$2:$A$16,I13,Targets!$B$2:$B$16,B13)</x:f>
        <x:v>60</x:v>
      </x:c>
      <x:c r="K13" t="str">
        <x:f>IF(F13&gt;=J13,"Yes","No")</x:f>
        <x:v>Yes</x:v>
      </x:c>
    </x:row>
    <x:row r="14">
      <x:c r="A14" t="str">
        <x:v>S002</x:v>
      </x:c>
      <x:c r="B14" t="str">
        <x:v>Chemistry</x:v>
      </x:c>
      <x:c r="C14" t="str">
        <x:v>E101</x:v>
      </x:c>
      <x:c r="D14" t="str">
        <x:v>Midterm</x:v>
      </x:c>
      <x:c r="E14" t="str">
        <x:v>Term 1</x:v>
      </x:c>
      <x:c r="F14" s="34" t="n">
        <x:v>61.9</x:v>
      </x:c>
      <x:c r="G14" s="34" t="n">
        <x:v>100</x:v>
      </x:c>
      <x:c r="H14" t="str">
        <x:f>IF(F14="","",IF(F14&gt;=40,"Pass","Fail"))</x:f>
        <x:v>Pass</x:v>
      </x:c>
      <x:c r="I14" t="str">
        <x:f>VLOOKUP(A14,Students!$A$2:$F$31,5,FALSE)</x:f>
        <x:v>12A</x:v>
      </x:c>
      <x:c r="J14" t="n">
        <x:f>SUMIFS(Targets!$C$2:$C$16,Targets!$A$2:$A$16,I14,Targets!$B$2:$B$16,B14)</x:f>
        <x:v>60</x:v>
      </x:c>
      <x:c r="K14" t="str">
        <x:f>IF(F14&gt;=J14,"Yes","No")</x:f>
        <x:v>Yes</x:v>
      </x:c>
    </x:row>
    <x:row r="15">
      <x:c r="A15" t="str">
        <x:v>S002</x:v>
      </x:c>
      <x:c r="B15" t="str">
        <x:v>English</x:v>
      </x:c>
      <x:c r="C15" t="str">
        <x:v>E101</x:v>
      </x:c>
      <x:c r="D15" t="str">
        <x:v>Midterm</x:v>
      </x:c>
      <x:c r="E15" t="str">
        <x:v>Term 1</x:v>
      </x:c>
      <x:c r="F15" s="34" t="n">
        <x:v>70.7</x:v>
      </x:c>
      <x:c r="G15" s="34" t="n">
        <x:v>100</x:v>
      </x:c>
      <x:c r="H15" t="str">
        <x:f>IF(F15="","",IF(F15&gt;=40,"Pass","Fail"))</x:f>
        <x:v>Pass</x:v>
      </x:c>
      <x:c r="I15" t="str">
        <x:f>VLOOKUP(A15,Students!$A$2:$F$31,5,FALSE)</x:f>
        <x:v>12A</x:v>
      </x:c>
      <x:c r="J15" t="n">
        <x:f>SUMIFS(Targets!$C$2:$C$16,Targets!$A$2:$A$16,I15,Targets!$B$2:$B$16,B15)</x:f>
        <x:v>60</x:v>
      </x:c>
      <x:c r="K15" t="str">
        <x:f>IF(F15&gt;=J15,"Yes","No")</x:f>
        <x:v>Yes</x:v>
      </x:c>
    </x:row>
    <x:row r="16">
      <x:c r="A16" t="str">
        <x:v>S002</x:v>
      </x:c>
      <x:c r="B16" t="str">
        <x:v>Computer Science</x:v>
      </x:c>
      <x:c r="C16" t="str">
        <x:v>E101</x:v>
      </x:c>
      <x:c r="D16" t="str">
        <x:v>Midterm</x:v>
      </x:c>
      <x:c r="E16" t="str">
        <x:v>Term 1</x:v>
      </x:c>
      <x:c r="F16" s="34" t="n">
        <x:v>53.8</x:v>
      </x:c>
      <x:c r="G16" s="34" t="n">
        <x:v>100</x:v>
      </x:c>
      <x:c r="H16" t="str">
        <x:f>IF(F16="","",IF(F16&gt;=40,"Pass","Fail"))</x:f>
        <x:v>Pass</x:v>
      </x:c>
      <x:c r="I16" t="str">
        <x:f>VLOOKUP(A16,Students!$A$2:$F$31,5,FALSE)</x:f>
        <x:v>12A</x:v>
      </x:c>
      <x:c r="J16" t="n">
        <x:f>SUMIFS(Targets!$C$2:$C$16,Targets!$A$2:$A$16,I16,Targets!$B$2:$B$16,B16)</x:f>
        <x:v>80</x:v>
      </x:c>
      <x:c r="K16" t="str">
        <x:f>IF(F16&gt;=J16,"Yes","No")</x:f>
        <x:v>No</x:v>
      </x:c>
    </x:row>
    <x:row r="17">
      <x:c r="A17" t="str">
        <x:v>S002</x:v>
      </x:c>
      <x:c r="B17" t="str">
        <x:v>Maths</x:v>
      </x:c>
      <x:c r="C17" t="str">
        <x:v>E102</x:v>
      </x:c>
      <x:c r="D17" t="str">
        <x:v>Final</x:v>
      </x:c>
      <x:c r="E17" t="str">
        <x:v>Term 2</x:v>
      </x:c>
      <x:c r="F17" s="34" t="n">
        <x:v>57.6</x:v>
      </x:c>
      <x:c r="G17" s="34" t="n">
        <x:v>100</x:v>
      </x:c>
      <x:c r="H17" t="str">
        <x:f>IF(F17="","",IF(F17&gt;=40,"Pass","Fail"))</x:f>
        <x:v>Pass</x:v>
      </x:c>
      <x:c r="I17" t="str">
        <x:f>VLOOKUP(A17,Students!$A$2:$F$31,5,FALSE)</x:f>
        <x:v>12A</x:v>
      </x:c>
      <x:c r="J17" t="n">
        <x:f>SUMIFS(Targets!$C$2:$C$16,Targets!$A$2:$A$16,I17,Targets!$B$2:$B$16,B17)</x:f>
        <x:v>70</x:v>
      </x:c>
      <x:c r="K17" t="str">
        <x:f>IF(F17&gt;=J17,"Yes","No")</x:f>
        <x:v>No</x:v>
      </x:c>
    </x:row>
    <x:row r="18">
      <x:c r="A18" t="str">
        <x:v>S002</x:v>
      </x:c>
      <x:c r="B18" t="str">
        <x:v>Physics</x:v>
      </x:c>
      <x:c r="C18" t="str">
        <x:v>E102</x:v>
      </x:c>
      <x:c r="D18" t="str">
        <x:v>Final</x:v>
      </x:c>
      <x:c r="E18" t="str">
        <x:v>Term 2</x:v>
      </x:c>
      <x:c r="F18" s="34" t="n">
        <x:v>72.4</x:v>
      </x:c>
      <x:c r="G18" s="34" t="n">
        <x:v>100</x:v>
      </x:c>
      <x:c r="H18" t="str">
        <x:f>IF(F18="","",IF(F18&gt;=40,"Pass","Fail"))</x:f>
        <x:v>Pass</x:v>
      </x:c>
      <x:c r="I18" t="str">
        <x:f>VLOOKUP(A18,Students!$A$2:$F$31,5,FALSE)</x:f>
        <x:v>12A</x:v>
      </x:c>
      <x:c r="J18" t="n">
        <x:f>SUMIFS(Targets!$C$2:$C$16,Targets!$A$2:$A$16,I18,Targets!$B$2:$B$16,B18)</x:f>
        <x:v>60</x:v>
      </x:c>
      <x:c r="K18" t="str">
        <x:f>IF(F18&gt;=J18,"Yes","No")</x:f>
        <x:v>Yes</x:v>
      </x:c>
    </x:row>
    <x:row r="19">
      <x:c r="A19" t="str">
        <x:v>S002</x:v>
      </x:c>
      <x:c r="B19" t="str">
        <x:v>Chemistry</x:v>
      </x:c>
      <x:c r="C19" t="str">
        <x:v>E102</x:v>
      </x:c>
      <x:c r="D19" t="str">
        <x:v>Final</x:v>
      </x:c>
      <x:c r="E19" t="str">
        <x:v>Term 2</x:v>
      </x:c>
      <x:c r="F19" s="34" t="n">
        <x:v>48.5</x:v>
      </x:c>
      <x:c r="G19" s="34" t="n">
        <x:v>100</x:v>
      </x:c>
      <x:c r="H19" t="str">
        <x:f>IF(F19="","",IF(F19&gt;=40,"Pass","Fail"))</x:f>
        <x:v>Pass</x:v>
      </x:c>
      <x:c r="I19" t="str">
        <x:f>VLOOKUP(A19,Students!$A$2:$F$31,5,FALSE)</x:f>
        <x:v>12A</x:v>
      </x:c>
      <x:c r="J19" t="n">
        <x:f>SUMIFS(Targets!$C$2:$C$16,Targets!$A$2:$A$16,I19,Targets!$B$2:$B$16,B19)</x:f>
        <x:v>60</x:v>
      </x:c>
      <x:c r="K19" t="str">
        <x:f>IF(F19&gt;=J19,"Yes","No")</x:f>
        <x:v>No</x:v>
      </x:c>
    </x:row>
    <x:row r="20">
      <x:c r="A20" t="str">
        <x:v>S002</x:v>
      </x:c>
      <x:c r="B20" t="str">
        <x:v>English</x:v>
      </x:c>
      <x:c r="C20" t="str">
        <x:v>E102</x:v>
      </x:c>
      <x:c r="D20" t="str">
        <x:v>Final</x:v>
      </x:c>
      <x:c r="E20" t="str">
        <x:v>Term 2</x:v>
      </x:c>
      <x:c r="F20" s="34" t="n">
        <x:v>74.2</x:v>
      </x:c>
      <x:c r="G20" s="34" t="n">
        <x:v>100</x:v>
      </x:c>
      <x:c r="H20" t="str">
        <x:f>IF(F20="","",IF(F20&gt;=40,"Pass","Fail"))</x:f>
        <x:v>Pass</x:v>
      </x:c>
      <x:c r="I20" t="str">
        <x:f>VLOOKUP(A20,Students!$A$2:$F$31,5,FALSE)</x:f>
        <x:v>12A</x:v>
      </x:c>
      <x:c r="J20" t="n">
        <x:f>SUMIFS(Targets!$C$2:$C$16,Targets!$A$2:$A$16,I20,Targets!$B$2:$B$16,B20)</x:f>
        <x:v>60</x:v>
      </x:c>
      <x:c r="K20" t="str">
        <x:f>IF(F20&gt;=J20,"Yes","No")</x:f>
        <x:v>Yes</x:v>
      </x:c>
    </x:row>
    <x:row r="21">
      <x:c r="A21" t="str">
        <x:v>S002</x:v>
      </x:c>
      <x:c r="B21" t="str">
        <x:v>Computer Science</x:v>
      </x:c>
      <x:c r="C21" t="str">
        <x:v>E102</x:v>
      </x:c>
      <x:c r="D21" t="str">
        <x:v>Final</x:v>
      </x:c>
      <x:c r="E21" t="str">
        <x:v>Term 2</x:v>
      </x:c>
      <x:c r="F21" s="34" t="n">
        <x:v>80</x:v>
      </x:c>
      <x:c r="G21" s="34" t="n">
        <x:v>100</x:v>
      </x:c>
      <x:c r="H21" t="str">
        <x:f>IF(F21="","",IF(F21&gt;=40,"Pass","Fail"))</x:f>
        <x:v>Pass</x:v>
      </x:c>
      <x:c r="I21" t="str">
        <x:f>VLOOKUP(A21,Students!$A$2:$F$31,5,FALSE)</x:f>
        <x:v>12A</x:v>
      </x:c>
      <x:c r="J21" t="n">
        <x:f>SUMIFS(Targets!$C$2:$C$16,Targets!$A$2:$A$16,I21,Targets!$B$2:$B$16,B21)</x:f>
        <x:v>80</x:v>
      </x:c>
      <x:c r="K21" t="str">
        <x:f>IF(F21&gt;=J21,"Yes","No")</x:f>
        <x:v>Yes</x:v>
      </x:c>
    </x:row>
    <x:row r="22">
      <x:c r="A22" t="str">
        <x:v>S003</x:v>
      </x:c>
      <x:c r="B22" t="str">
        <x:v>Maths</x:v>
      </x:c>
      <x:c r="C22" t="str">
        <x:v>E101</x:v>
      </x:c>
      <x:c r="D22" t="str">
        <x:v>Midterm</x:v>
      </x:c>
      <x:c r="E22" t="str">
        <x:v>Term 1</x:v>
      </x:c>
      <x:c r="F22" s="34" t="n">
        <x:v>52.8</x:v>
      </x:c>
      <x:c r="G22" s="34" t="n">
        <x:v>100</x:v>
      </x:c>
      <x:c r="H22" t="str">
        <x:f>IF(F22="","",IF(F22&gt;=40,"Pass","Fail"))</x:f>
        <x:v>Pass</x:v>
      </x:c>
      <x:c r="I22" t="str">
        <x:f>VLOOKUP(A22,Students!$A$2:$F$31,5,FALSE)</x:f>
        <x:v>12A</x:v>
      </x:c>
      <x:c r="J22" t="n">
        <x:f>SUMIFS(Targets!$C$2:$C$16,Targets!$A$2:$A$16,I22,Targets!$B$2:$B$16,B22)</x:f>
        <x:v>70</x:v>
      </x:c>
      <x:c r="K22" t="str">
        <x:f>IF(F22&gt;=J22,"Yes","No")</x:f>
        <x:v>No</x:v>
      </x:c>
    </x:row>
    <x:row r="23">
      <x:c r="A23" t="str">
        <x:v>S003</x:v>
      </x:c>
      <x:c r="B23" t="str">
        <x:v>Physics</x:v>
      </x:c>
      <x:c r="C23" t="str">
        <x:v>E101</x:v>
      </x:c>
      <x:c r="D23" t="str">
        <x:v>Midterm</x:v>
      </x:c>
      <x:c r="E23" t="str">
        <x:v>Term 1</x:v>
      </x:c>
      <x:c r="F23" s="34" t="n">
        <x:v>71.9</x:v>
      </x:c>
      <x:c r="G23" s="34" t="n">
        <x:v>100</x:v>
      </x:c>
      <x:c r="H23" t="str">
        <x:f>IF(F23="","",IF(F23&gt;=40,"Pass","Fail"))</x:f>
        <x:v>Pass</x:v>
      </x:c>
      <x:c r="I23" t="str">
        <x:f>VLOOKUP(A23,Students!$A$2:$F$31,5,FALSE)</x:f>
        <x:v>12A</x:v>
      </x:c>
      <x:c r="J23" t="n">
        <x:f>SUMIFS(Targets!$C$2:$C$16,Targets!$A$2:$A$16,I23,Targets!$B$2:$B$16,B23)</x:f>
        <x:v>60</x:v>
      </x:c>
      <x:c r="K23" t="str">
        <x:f>IF(F23&gt;=J23,"Yes","No")</x:f>
        <x:v>Yes</x:v>
      </x:c>
    </x:row>
    <x:row r="24">
      <x:c r="A24" t="str">
        <x:v>S003</x:v>
      </x:c>
      <x:c r="B24" t="str">
        <x:v>Chemistry</x:v>
      </x:c>
      <x:c r="C24" t="str">
        <x:v>E101</x:v>
      </x:c>
      <x:c r="D24" t="str">
        <x:v>Midterm</x:v>
      </x:c>
      <x:c r="E24" t="str">
        <x:v>Term 1</x:v>
      </x:c>
      <x:c r="F24" s="34" t="n">
        <x:v>69.9</x:v>
      </x:c>
      <x:c r="G24" s="34" t="n">
        <x:v>100</x:v>
      </x:c>
      <x:c r="H24" t="str">
        <x:f>IF(F24="","",IF(F24&gt;=40,"Pass","Fail"))</x:f>
        <x:v>Pass</x:v>
      </x:c>
      <x:c r="I24" t="str">
        <x:f>VLOOKUP(A24,Students!$A$2:$F$31,5,FALSE)</x:f>
        <x:v>12A</x:v>
      </x:c>
      <x:c r="J24" t="n">
        <x:f>SUMIFS(Targets!$C$2:$C$16,Targets!$A$2:$A$16,I24,Targets!$B$2:$B$16,B24)</x:f>
        <x:v>60</x:v>
      </x:c>
      <x:c r="K24" t="str">
        <x:f>IF(F24&gt;=J24,"Yes","No")</x:f>
        <x:v>Yes</x:v>
      </x:c>
    </x:row>
    <x:row r="25">
      <x:c r="A25" t="str">
        <x:v>S003</x:v>
      </x:c>
      <x:c r="B25" t="str">
        <x:v>English</x:v>
      </x:c>
      <x:c r="C25" t="str">
        <x:v>E101</x:v>
      </x:c>
      <x:c r="D25" t="str">
        <x:v>Midterm</x:v>
      </x:c>
      <x:c r="E25" t="str">
        <x:v>Term 1</x:v>
      </x:c>
      <x:c r="F25" s="34" t="n">
        <x:v>80.3</x:v>
      </x:c>
      <x:c r="G25" s="34" t="n">
        <x:v>100</x:v>
      </x:c>
      <x:c r="H25" t="str">
        <x:f>IF(F25="","",IF(F25&gt;=40,"Pass","Fail"))</x:f>
        <x:v>Pass</x:v>
      </x:c>
      <x:c r="I25" t="str">
        <x:f>VLOOKUP(A25,Students!$A$2:$F$31,5,FALSE)</x:f>
        <x:v>12A</x:v>
      </x:c>
      <x:c r="J25" t="n">
        <x:f>SUMIFS(Targets!$C$2:$C$16,Targets!$A$2:$A$16,I25,Targets!$B$2:$B$16,B25)</x:f>
        <x:v>60</x:v>
      </x:c>
      <x:c r="K25" t="str">
        <x:f>IF(F25&gt;=J25,"Yes","No")</x:f>
        <x:v>Yes</x:v>
      </x:c>
    </x:row>
    <x:row r="26">
      <x:c r="A26" t="str">
        <x:v>S003</x:v>
      </x:c>
      <x:c r="B26" t="str">
        <x:v>Computer Science</x:v>
      </x:c>
      <x:c r="C26" t="str">
        <x:v>E101</x:v>
      </x:c>
      <x:c r="D26" t="str">
        <x:v>Midterm</x:v>
      </x:c>
      <x:c r="E26" t="str">
        <x:v>Term 1</x:v>
      </x:c>
      <x:c r="F26" s="34" t="n">
        <x:v>81</x:v>
      </x:c>
      <x:c r="G26" s="34" t="n">
        <x:v>100</x:v>
      </x:c>
      <x:c r="H26" t="str">
        <x:f>IF(F26="","",IF(F26&gt;=40,"Pass","Fail"))</x:f>
        <x:v>Pass</x:v>
      </x:c>
      <x:c r="I26" t="str">
        <x:f>VLOOKUP(A26,Students!$A$2:$F$31,5,FALSE)</x:f>
        <x:v>12A</x:v>
      </x:c>
      <x:c r="J26" t="n">
        <x:f>SUMIFS(Targets!$C$2:$C$16,Targets!$A$2:$A$16,I26,Targets!$B$2:$B$16,B26)</x:f>
        <x:v>80</x:v>
      </x:c>
      <x:c r="K26" t="str">
        <x:f>IF(F26&gt;=J26,"Yes","No")</x:f>
        <x:v>Yes</x:v>
      </x:c>
    </x:row>
    <x:row r="27">
      <x:c r="A27" t="str">
        <x:v>S003</x:v>
      </x:c>
      <x:c r="B27" t="str">
        <x:v>Maths</x:v>
      </x:c>
      <x:c r="C27" t="str">
        <x:v>E102</x:v>
      </x:c>
      <x:c r="D27" t="str">
        <x:v>Final</x:v>
      </x:c>
      <x:c r="E27" t="str">
        <x:v>Term 2</x:v>
      </x:c>
      <x:c r="F27" s="34" t="n">
        <x:v>61.9</x:v>
      </x:c>
      <x:c r="G27" s="34" t="n">
        <x:v>100</x:v>
      </x:c>
      <x:c r="H27" t="str">
        <x:f>IF(F27="","",IF(F27&gt;=40,"Pass","Fail"))</x:f>
        <x:v>Pass</x:v>
      </x:c>
      <x:c r="I27" t="str">
        <x:f>VLOOKUP(A27,Students!$A$2:$F$31,5,FALSE)</x:f>
        <x:v>12A</x:v>
      </x:c>
      <x:c r="J27" t="n">
        <x:f>SUMIFS(Targets!$C$2:$C$16,Targets!$A$2:$A$16,I27,Targets!$B$2:$B$16,B27)</x:f>
        <x:v>70</x:v>
      </x:c>
      <x:c r="K27" t="str">
        <x:f>IF(F27&gt;=J27,"Yes","No")</x:f>
        <x:v>No</x:v>
      </x:c>
    </x:row>
    <x:row r="28">
      <x:c r="A28" t="str">
        <x:v>S003</x:v>
      </x:c>
      <x:c r="B28" t="str">
        <x:v>Physics</x:v>
      </x:c>
      <x:c r="C28" t="str">
        <x:v>E102</x:v>
      </x:c>
      <x:c r="D28" t="str">
        <x:v>Final</x:v>
      </x:c>
      <x:c r="E28" t="str">
        <x:v>Term 2</x:v>
      </x:c>
      <x:c r="F28" s="34" t="n">
        <x:v>60.2</x:v>
      </x:c>
      <x:c r="G28" s="34" t="n">
        <x:v>100</x:v>
      </x:c>
      <x:c r="H28" t="str">
        <x:f>IF(F28="","",IF(F28&gt;=40,"Pass","Fail"))</x:f>
        <x:v>Pass</x:v>
      </x:c>
      <x:c r="I28" t="str">
        <x:f>VLOOKUP(A28,Students!$A$2:$F$31,5,FALSE)</x:f>
        <x:v>12A</x:v>
      </x:c>
      <x:c r="J28" t="n">
        <x:f>SUMIFS(Targets!$C$2:$C$16,Targets!$A$2:$A$16,I28,Targets!$B$2:$B$16,B28)</x:f>
        <x:v>60</x:v>
      </x:c>
      <x:c r="K28" t="str">
        <x:f>IF(F28&gt;=J28,"Yes","No")</x:f>
        <x:v>Yes</x:v>
      </x:c>
    </x:row>
    <x:row r="29">
      <x:c r="A29" t="str">
        <x:v>S003</x:v>
      </x:c>
      <x:c r="B29" t="str">
        <x:v>Chemistry</x:v>
      </x:c>
      <x:c r="C29" t="str">
        <x:v>E102</x:v>
      </x:c>
      <x:c r="D29" t="str">
        <x:v>Final</x:v>
      </x:c>
      <x:c r="E29" t="str">
        <x:v>Term 2</x:v>
      </x:c>
      <x:c r="F29" s="34" t="n">
        <x:v>69.2</x:v>
      </x:c>
      <x:c r="G29" s="34" t="n">
        <x:v>100</x:v>
      </x:c>
      <x:c r="H29" t="str">
        <x:f>IF(F29="","",IF(F29&gt;=40,"Pass","Fail"))</x:f>
        <x:v>Pass</x:v>
      </x:c>
      <x:c r="I29" t="str">
        <x:f>VLOOKUP(A29,Students!$A$2:$F$31,5,FALSE)</x:f>
        <x:v>12A</x:v>
      </x:c>
      <x:c r="J29" t="n">
        <x:f>SUMIFS(Targets!$C$2:$C$16,Targets!$A$2:$A$16,I29,Targets!$B$2:$B$16,B29)</x:f>
        <x:v>60</x:v>
      </x:c>
      <x:c r="K29" t="str">
        <x:f>IF(F29&gt;=J29,"Yes","No")</x:f>
        <x:v>Yes</x:v>
      </x:c>
    </x:row>
    <x:row r="30">
      <x:c r="A30" t="str">
        <x:v>S003</x:v>
      </x:c>
      <x:c r="B30" t="str">
        <x:v>English</x:v>
      </x:c>
      <x:c r="C30" t="str">
        <x:v>E102</x:v>
      </x:c>
      <x:c r="D30" t="str">
        <x:v>Final</x:v>
      </x:c>
      <x:c r="E30" t="str">
        <x:v>Term 2</x:v>
      </x:c>
      <x:c r="F30" s="34" t="n">
        <x:v>66</x:v>
      </x:c>
      <x:c r="G30" s="34" t="n">
        <x:v>100</x:v>
      </x:c>
      <x:c r="H30" t="str">
        <x:f>IF(F30="","",IF(F30&gt;=40,"Pass","Fail"))</x:f>
        <x:v>Pass</x:v>
      </x:c>
      <x:c r="I30" t="str">
        <x:f>VLOOKUP(A30,Students!$A$2:$F$31,5,FALSE)</x:f>
        <x:v>12A</x:v>
      </x:c>
      <x:c r="J30" t="n">
        <x:f>SUMIFS(Targets!$C$2:$C$16,Targets!$A$2:$A$16,I30,Targets!$B$2:$B$16,B30)</x:f>
        <x:v>60</x:v>
      </x:c>
      <x:c r="K30" t="str">
        <x:f>IF(F30&gt;=J30,"Yes","No")</x:f>
        <x:v>Yes</x:v>
      </x:c>
    </x:row>
    <x:row r="31">
      <x:c r="A31" t="str">
        <x:v>S003</x:v>
      </x:c>
      <x:c r="B31" t="str">
        <x:v>Computer Science</x:v>
      </x:c>
      <x:c r="C31" t="str">
        <x:v>E102</x:v>
      </x:c>
      <x:c r="D31" t="str">
        <x:v>Final</x:v>
      </x:c>
      <x:c r="E31" t="str">
        <x:v>Term 2</x:v>
      </x:c>
      <x:c r="F31" s="34" t="n">
        <x:v>75.2</x:v>
      </x:c>
      <x:c r="G31" s="34" t="n">
        <x:v>100</x:v>
      </x:c>
      <x:c r="H31" t="str">
        <x:f>IF(F31="","",IF(F31&gt;=40,"Pass","Fail"))</x:f>
        <x:v>Pass</x:v>
      </x:c>
      <x:c r="I31" t="str">
        <x:f>VLOOKUP(A31,Students!$A$2:$F$31,5,FALSE)</x:f>
        <x:v>12A</x:v>
      </x:c>
      <x:c r="J31" t="n">
        <x:f>SUMIFS(Targets!$C$2:$C$16,Targets!$A$2:$A$16,I31,Targets!$B$2:$B$16,B31)</x:f>
        <x:v>80</x:v>
      </x:c>
      <x:c r="K31" t="str">
        <x:f>IF(F31&gt;=J31,"Yes","No")</x:f>
        <x:v>No</x:v>
      </x:c>
    </x:row>
    <x:row r="32">
      <x:c r="A32" t="str">
        <x:v>S004</x:v>
      </x:c>
      <x:c r="B32" t="str">
        <x:v>Maths</x:v>
      </x:c>
      <x:c r="C32" t="str">
        <x:v>E101</x:v>
      </x:c>
      <x:c r="D32" t="str">
        <x:v>Midterm</x:v>
      </x:c>
      <x:c r="E32" t="str">
        <x:v>Term 1</x:v>
      </x:c>
      <x:c r="F32" s="34" t="n">
        <x:v>91.4</x:v>
      </x:c>
      <x:c r="G32" s="34" t="n">
        <x:v>100</x:v>
      </x:c>
      <x:c r="H32" t="str">
        <x:f>IF(F32="","",IF(F32&gt;=40,"Pass","Fail"))</x:f>
        <x:v>Pass</x:v>
      </x:c>
      <x:c r="I32" t="str">
        <x:f>VLOOKUP(A32,Students!$A$2:$F$31,5,FALSE)</x:f>
        <x:v>12C</x:v>
      </x:c>
      <x:c r="J32" t="n">
        <x:f>SUMIFS(Targets!$C$2:$C$16,Targets!$A$2:$A$16,I32,Targets!$B$2:$B$16,B32)</x:f>
        <x:v>70</x:v>
      </x:c>
      <x:c r="K32" t="str">
        <x:f>IF(F32&gt;=J32,"Yes","No")</x:f>
        <x:v>Yes</x:v>
      </x:c>
    </x:row>
    <x:row r="33">
      <x:c r="A33" t="str">
        <x:v>S004</x:v>
      </x:c>
      <x:c r="B33" t="str">
        <x:v>Physics</x:v>
      </x:c>
      <x:c r="C33" t="str">
        <x:v>E101</x:v>
      </x:c>
      <x:c r="D33" t="str">
        <x:v>Midterm</x:v>
      </x:c>
      <x:c r="E33" t="str">
        <x:v>Term 1</x:v>
      </x:c>
      <x:c r="F33" s="34" t="n">
        <x:v>53.8</x:v>
      </x:c>
      <x:c r="G33" s="34" t="n">
        <x:v>100</x:v>
      </x:c>
      <x:c r="H33" t="str">
        <x:f>IF(F33="","",IF(F33&gt;=40,"Pass","Fail"))</x:f>
        <x:v>Pass</x:v>
      </x:c>
      <x:c r="I33" t="str">
        <x:f>VLOOKUP(A33,Students!$A$2:$F$31,5,FALSE)</x:f>
        <x:v>12C</x:v>
      </x:c>
      <x:c r="J33" t="n">
        <x:f>SUMIFS(Targets!$C$2:$C$16,Targets!$A$2:$A$16,I33,Targets!$B$2:$B$16,B33)</x:f>
        <x:v>80</x:v>
      </x:c>
      <x:c r="K33" t="str">
        <x:f>IF(F33&gt;=J33,"Yes","No")</x:f>
        <x:v>No</x:v>
      </x:c>
    </x:row>
    <x:row r="34">
      <x:c r="A34" t="str">
        <x:v>S004</x:v>
      </x:c>
      <x:c r="B34" t="str">
        <x:v>Chemistry</x:v>
      </x:c>
      <x:c r="C34" t="str">
        <x:v>E101</x:v>
      </x:c>
      <x:c r="D34" t="str">
        <x:v>Midterm</x:v>
      </x:c>
      <x:c r="E34" t="str">
        <x:v>Term 1</x:v>
      </x:c>
      <x:c r="F34" s="34" t="n">
        <x:v>58.3</x:v>
      </x:c>
      <x:c r="G34" s="34" t="n">
        <x:v>100</x:v>
      </x:c>
      <x:c r="H34" t="str">
        <x:f>IF(F34="","",IF(F34&gt;=40,"Pass","Fail"))</x:f>
        <x:v>Pass</x:v>
      </x:c>
      <x:c r="I34" t="str">
        <x:f>VLOOKUP(A34,Students!$A$2:$F$31,5,FALSE)</x:f>
        <x:v>12C</x:v>
      </x:c>
      <x:c r="J34" t="n">
        <x:f>SUMIFS(Targets!$C$2:$C$16,Targets!$A$2:$A$16,I34,Targets!$B$2:$B$16,B34)</x:f>
        <x:v>65</x:v>
      </x:c>
      <x:c r="K34" t="str">
        <x:f>IF(F34&gt;=J34,"Yes","No")</x:f>
        <x:v>No</x:v>
      </x:c>
    </x:row>
    <x:row r="35">
      <x:c r="A35" t="str">
        <x:v>S004</x:v>
      </x:c>
      <x:c r="B35" t="str">
        <x:v>English</x:v>
      </x:c>
      <x:c r="C35" t="str">
        <x:v>E101</x:v>
      </x:c>
      <x:c r="D35" t="str">
        <x:v>Midterm</x:v>
      </x:c>
      <x:c r="E35" t="str">
        <x:v>Term 1</x:v>
      </x:c>
      <x:c r="F35" s="34" t="n">
        <x:v>75.3</x:v>
      </x:c>
      <x:c r="G35" s="34" t="n">
        <x:v>100</x:v>
      </x:c>
      <x:c r="H35" t="str">
        <x:f>IF(F35="","",IF(F35&gt;=40,"Pass","Fail"))</x:f>
        <x:v>Pass</x:v>
      </x:c>
      <x:c r="I35" t="str">
        <x:f>VLOOKUP(A35,Students!$A$2:$F$31,5,FALSE)</x:f>
        <x:v>12C</x:v>
      </x:c>
      <x:c r="J35" t="n">
        <x:f>SUMIFS(Targets!$C$2:$C$16,Targets!$A$2:$A$16,I35,Targets!$B$2:$B$16,B35)</x:f>
        <x:v>70</x:v>
      </x:c>
      <x:c r="K35" t="str">
        <x:f>IF(F35&gt;=J35,"Yes","No")</x:f>
        <x:v>Yes</x:v>
      </x:c>
    </x:row>
    <x:row r="36">
      <x:c r="A36" t="str">
        <x:v>S004</x:v>
      </x:c>
      <x:c r="B36" t="str">
        <x:v>Computer Science</x:v>
      </x:c>
      <x:c r="C36" t="str">
        <x:v>E101</x:v>
      </x:c>
      <x:c r="D36" t="str">
        <x:v>Midterm</x:v>
      </x:c>
      <x:c r="E36" t="str">
        <x:v>Term 1</x:v>
      </x:c>
      <x:c r="F36" s="34" t="n">
        <x:v>77.8</x:v>
      </x:c>
      <x:c r="G36" s="34" t="n">
        <x:v>100</x:v>
      </x:c>
      <x:c r="H36" t="str">
        <x:f>IF(F36="","",IF(F36&gt;=40,"Pass","Fail"))</x:f>
        <x:v>Pass</x:v>
      </x:c>
      <x:c r="I36" t="str">
        <x:f>VLOOKUP(A36,Students!$A$2:$F$31,5,FALSE)</x:f>
        <x:v>12C</x:v>
      </x:c>
      <x:c r="J36" t="n">
        <x:f>SUMIFS(Targets!$C$2:$C$16,Targets!$A$2:$A$16,I36,Targets!$B$2:$B$16,B36)</x:f>
        <x:v>80</x:v>
      </x:c>
      <x:c r="K36" t="str">
        <x:f>IF(F36&gt;=J36,"Yes","No")</x:f>
        <x:v>No</x:v>
      </x:c>
    </x:row>
    <x:row r="37">
      <x:c r="A37" t="str">
        <x:v>S004</x:v>
      </x:c>
      <x:c r="B37" t="str">
        <x:v>Maths</x:v>
      </x:c>
      <x:c r="C37" t="str">
        <x:v>E102</x:v>
      </x:c>
      <x:c r="D37" t="str">
        <x:v>Final</x:v>
      </x:c>
      <x:c r="E37" t="str">
        <x:v>Term 2</x:v>
      </x:c>
      <x:c r="F37" s="34" t="n">
        <x:v>88</x:v>
      </x:c>
      <x:c r="G37" s="34" t="n">
        <x:v>100</x:v>
      </x:c>
      <x:c r="H37" t="str">
        <x:f>IF(F37="","",IF(F37&gt;=40,"Pass","Fail"))</x:f>
        <x:v>Pass</x:v>
      </x:c>
      <x:c r="I37" t="str">
        <x:f>VLOOKUP(A37,Students!$A$2:$F$31,5,FALSE)</x:f>
        <x:v>12C</x:v>
      </x:c>
      <x:c r="J37" t="n">
        <x:f>SUMIFS(Targets!$C$2:$C$16,Targets!$A$2:$A$16,I37,Targets!$B$2:$B$16,B37)</x:f>
        <x:v>70</x:v>
      </x:c>
      <x:c r="K37" t="str">
        <x:f>IF(F37&gt;=J37,"Yes","No")</x:f>
        <x:v>Yes</x:v>
      </x:c>
    </x:row>
    <x:row r="38">
      <x:c r="A38" t="str">
        <x:v>S004</x:v>
      </x:c>
      <x:c r="B38" t="str">
        <x:v>Physics</x:v>
      </x:c>
      <x:c r="C38" t="str">
        <x:v>E102</x:v>
      </x:c>
      <x:c r="D38" t="str">
        <x:v>Final</x:v>
      </x:c>
      <x:c r="E38" t="str">
        <x:v>Term 2</x:v>
      </x:c>
      <x:c r="F38" s="34" t="n">
        <x:v>80.3</x:v>
      </x:c>
      <x:c r="G38" s="34" t="n">
        <x:v>100</x:v>
      </x:c>
      <x:c r="H38" t="str">
        <x:f>IF(F38="","",IF(F38&gt;=40,"Pass","Fail"))</x:f>
        <x:v>Pass</x:v>
      </x:c>
      <x:c r="I38" t="str">
        <x:f>VLOOKUP(A38,Students!$A$2:$F$31,5,FALSE)</x:f>
        <x:v>12C</x:v>
      </x:c>
      <x:c r="J38" t="n">
        <x:f>SUMIFS(Targets!$C$2:$C$16,Targets!$A$2:$A$16,I38,Targets!$B$2:$B$16,B38)</x:f>
        <x:v>80</x:v>
      </x:c>
      <x:c r="K38" t="str">
        <x:f>IF(F38&gt;=J38,"Yes","No")</x:f>
        <x:v>Yes</x:v>
      </x:c>
    </x:row>
    <x:row r="39">
      <x:c r="A39" t="str">
        <x:v>S004</x:v>
      </x:c>
      <x:c r="B39" t="str">
        <x:v>Chemistry</x:v>
      </x:c>
      <x:c r="C39" t="str">
        <x:v>E102</x:v>
      </x:c>
      <x:c r="D39" t="str">
        <x:v>Final</x:v>
      </x:c>
      <x:c r="E39" t="str">
        <x:v>Term 2</x:v>
      </x:c>
      <x:c r="F39" s="34" t="n">
        <x:v>74.3</x:v>
      </x:c>
      <x:c r="G39" s="34" t="n">
        <x:v>100</x:v>
      </x:c>
      <x:c r="H39" t="str">
        <x:f>IF(F39="","",IF(F39&gt;=40,"Pass","Fail"))</x:f>
        <x:v>Pass</x:v>
      </x:c>
      <x:c r="I39" t="str">
        <x:f>VLOOKUP(A39,Students!$A$2:$F$31,5,FALSE)</x:f>
        <x:v>12C</x:v>
      </x:c>
      <x:c r="J39" t="n">
        <x:f>SUMIFS(Targets!$C$2:$C$16,Targets!$A$2:$A$16,I39,Targets!$B$2:$B$16,B39)</x:f>
        <x:v>65</x:v>
      </x:c>
      <x:c r="K39" t="str">
        <x:f>IF(F39&gt;=J39,"Yes","No")</x:f>
        <x:v>Yes</x:v>
      </x:c>
    </x:row>
    <x:row r="40">
      <x:c r="A40" t="str">
        <x:v>S004</x:v>
      </x:c>
      <x:c r="B40" t="str">
        <x:v>English</x:v>
      </x:c>
      <x:c r="C40" t="str">
        <x:v>E102</x:v>
      </x:c>
      <x:c r="D40" t="str">
        <x:v>Final</x:v>
      </x:c>
      <x:c r="E40" t="str">
        <x:v>Term 2</x:v>
      </x:c>
      <x:c r="F40" s="34" t="n">
        <x:v>74</x:v>
      </x:c>
      <x:c r="G40" s="34" t="n">
        <x:v>100</x:v>
      </x:c>
      <x:c r="H40" t="str">
        <x:f>IF(F40="","",IF(F40&gt;=40,"Pass","Fail"))</x:f>
        <x:v>Pass</x:v>
      </x:c>
      <x:c r="I40" t="str">
        <x:f>VLOOKUP(A40,Students!$A$2:$F$31,5,FALSE)</x:f>
        <x:v>12C</x:v>
      </x:c>
      <x:c r="J40" t="n">
        <x:f>SUMIFS(Targets!$C$2:$C$16,Targets!$A$2:$A$16,I40,Targets!$B$2:$B$16,B40)</x:f>
        <x:v>70</x:v>
      </x:c>
      <x:c r="K40" t="str">
        <x:f>IF(F40&gt;=J40,"Yes","No")</x:f>
        <x:v>Yes</x:v>
      </x:c>
    </x:row>
    <x:row r="41">
      <x:c r="A41" t="str">
        <x:v>S004</x:v>
      </x:c>
      <x:c r="B41" t="str">
        <x:v>Computer Science</x:v>
      </x:c>
      <x:c r="C41" t="str">
        <x:v>E102</x:v>
      </x:c>
      <x:c r="D41" t="str">
        <x:v>Final</x:v>
      </x:c>
      <x:c r="E41" t="str">
        <x:v>Term 2</x:v>
      </x:c>
      <x:c r="F41" s="34" t="n">
        <x:v>78.1</x:v>
      </x:c>
      <x:c r="G41" s="34" t="n">
        <x:v>100</x:v>
      </x:c>
      <x:c r="H41" t="str">
        <x:f>IF(F41="","",IF(F41&gt;=40,"Pass","Fail"))</x:f>
        <x:v>Pass</x:v>
      </x:c>
      <x:c r="I41" t="str">
        <x:f>VLOOKUP(A41,Students!$A$2:$F$31,5,FALSE)</x:f>
        <x:v>12C</x:v>
      </x:c>
      <x:c r="J41" t="n">
        <x:f>SUMIFS(Targets!$C$2:$C$16,Targets!$A$2:$A$16,I41,Targets!$B$2:$B$16,B41)</x:f>
        <x:v>80</x:v>
      </x:c>
      <x:c r="K41" t="str">
        <x:f>IF(F41&gt;=J41,"Yes","No")</x:f>
        <x:v>No</x:v>
      </x:c>
    </x:row>
    <x:row r="42">
      <x:c r="A42" t="str">
        <x:v>S005</x:v>
      </x:c>
      <x:c r="B42" t="str">
        <x:v>Maths</x:v>
      </x:c>
      <x:c r="C42" t="str">
        <x:v>E101</x:v>
      </x:c>
      <x:c r="D42" t="str">
        <x:v>Midterm</x:v>
      </x:c>
      <x:c r="E42" t="str">
        <x:v>Term 1</x:v>
      </x:c>
      <x:c r="F42" s="34" t="n">
        <x:v>58</x:v>
      </x:c>
      <x:c r="G42" s="34" t="n">
        <x:v>100</x:v>
      </x:c>
      <x:c r="H42" t="str">
        <x:f>IF(F42="","",IF(F42&gt;=40,"Pass","Fail"))</x:f>
        <x:v>Pass</x:v>
      </x:c>
      <x:c r="I42" t="str">
        <x:f>VLOOKUP(A42,Students!$A$2:$F$31,5,FALSE)</x:f>
        <x:v>12C</x:v>
      </x:c>
      <x:c r="J42" t="n">
        <x:f>SUMIFS(Targets!$C$2:$C$16,Targets!$A$2:$A$16,I42,Targets!$B$2:$B$16,B42)</x:f>
        <x:v>70</x:v>
      </x:c>
      <x:c r="K42" t="str">
        <x:f>IF(F42&gt;=J42,"Yes","No")</x:f>
        <x:v>No</x:v>
      </x:c>
    </x:row>
    <x:row r="43">
      <x:c r="A43" t="str">
        <x:v>S005</x:v>
      </x:c>
      <x:c r="B43" t="str">
        <x:v>Physics</x:v>
      </x:c>
      <x:c r="C43" t="str">
        <x:v>E101</x:v>
      </x:c>
      <x:c r="D43" t="str">
        <x:v>Midterm</x:v>
      </x:c>
      <x:c r="E43" t="str">
        <x:v>Term 1</x:v>
      </x:c>
      <x:c r="F43" s="34" t="n">
        <x:v>45.3</x:v>
      </x:c>
      <x:c r="G43" s="34" t="n">
        <x:v>100</x:v>
      </x:c>
      <x:c r="H43" t="str">
        <x:f>IF(F43="","",IF(F43&gt;=40,"Pass","Fail"))</x:f>
        <x:v>Pass</x:v>
      </x:c>
      <x:c r="I43" t="str">
        <x:f>VLOOKUP(A43,Students!$A$2:$F$31,5,FALSE)</x:f>
        <x:v>12C</x:v>
      </x:c>
      <x:c r="J43" t="n">
        <x:f>SUMIFS(Targets!$C$2:$C$16,Targets!$A$2:$A$16,I43,Targets!$B$2:$B$16,B43)</x:f>
        <x:v>80</x:v>
      </x:c>
      <x:c r="K43" t="str">
        <x:f>IF(F43&gt;=J43,"Yes","No")</x:f>
        <x:v>No</x:v>
      </x:c>
    </x:row>
    <x:row r="44">
      <x:c r="A44" t="str">
        <x:v>S005</x:v>
      </x:c>
      <x:c r="B44" t="str">
        <x:v>Chemistry</x:v>
      </x:c>
      <x:c r="C44" t="str">
        <x:v>E101</x:v>
      </x:c>
      <x:c r="D44" t="str">
        <x:v>Midterm</x:v>
      </x:c>
      <x:c r="E44" t="str">
        <x:v>Term 1</x:v>
      </x:c>
      <x:c r="F44" s="34" t="n">
        <x:v>59.8</x:v>
      </x:c>
      <x:c r="G44" s="34" t="n">
        <x:v>100</x:v>
      </x:c>
      <x:c r="H44" t="str">
        <x:f>IF(F44="","",IF(F44&gt;=40,"Pass","Fail"))</x:f>
        <x:v>Pass</x:v>
      </x:c>
      <x:c r="I44" t="str">
        <x:f>VLOOKUP(A44,Students!$A$2:$F$31,5,FALSE)</x:f>
        <x:v>12C</x:v>
      </x:c>
      <x:c r="J44" t="n">
        <x:f>SUMIFS(Targets!$C$2:$C$16,Targets!$A$2:$A$16,I44,Targets!$B$2:$B$16,B44)</x:f>
        <x:v>65</x:v>
      </x:c>
      <x:c r="K44" t="str">
        <x:f>IF(F44&gt;=J44,"Yes","No")</x:f>
        <x:v>No</x:v>
      </x:c>
    </x:row>
    <x:row r="45">
      <x:c r="A45" t="str">
        <x:v>S005</x:v>
      </x:c>
      <x:c r="B45" t="str">
        <x:v>English</x:v>
      </x:c>
      <x:c r="C45" t="str">
        <x:v>E101</x:v>
      </x:c>
      <x:c r="D45" t="str">
        <x:v>Midterm</x:v>
      </x:c>
      <x:c r="E45" t="str">
        <x:v>Term 1</x:v>
      </x:c>
      <x:c r="F45" s="34" t="n">
        <x:v>76.7</x:v>
      </x:c>
      <x:c r="G45" s="34" t="n">
        <x:v>100</x:v>
      </x:c>
      <x:c r="H45" t="str">
        <x:f>IF(F45="","",IF(F45&gt;=40,"Pass","Fail"))</x:f>
        <x:v>Pass</x:v>
      </x:c>
      <x:c r="I45" t="str">
        <x:f>VLOOKUP(A45,Students!$A$2:$F$31,5,FALSE)</x:f>
        <x:v>12C</x:v>
      </x:c>
      <x:c r="J45" t="n">
        <x:f>SUMIFS(Targets!$C$2:$C$16,Targets!$A$2:$A$16,I45,Targets!$B$2:$B$16,B45)</x:f>
        <x:v>70</x:v>
      </x:c>
      <x:c r="K45" t="str">
        <x:f>IF(F45&gt;=J45,"Yes","No")</x:f>
        <x:v>Yes</x:v>
      </x:c>
    </x:row>
    <x:row r="46">
      <x:c r="A46" t="str">
        <x:v>S005</x:v>
      </x:c>
      <x:c r="B46" t="str">
        <x:v>Computer Science</x:v>
      </x:c>
      <x:c r="C46" t="str">
        <x:v>E101</x:v>
      </x:c>
      <x:c r="D46" t="str">
        <x:v>Midterm</x:v>
      </x:c>
      <x:c r="E46" t="str">
        <x:v>Term 1</x:v>
      </x:c>
      <x:c r="F46" s="34" t="n">
        <x:v>63</x:v>
      </x:c>
      <x:c r="G46" s="34" t="n">
        <x:v>100</x:v>
      </x:c>
      <x:c r="H46" t="str">
        <x:f>IF(F46="","",IF(F46&gt;=40,"Pass","Fail"))</x:f>
        <x:v>Pass</x:v>
      </x:c>
      <x:c r="I46" t="str">
        <x:f>VLOOKUP(A46,Students!$A$2:$F$31,5,FALSE)</x:f>
        <x:v>12C</x:v>
      </x:c>
      <x:c r="J46" t="n">
        <x:f>SUMIFS(Targets!$C$2:$C$16,Targets!$A$2:$A$16,I46,Targets!$B$2:$B$16,B46)</x:f>
        <x:v>80</x:v>
      </x:c>
      <x:c r="K46" t="str">
        <x:f>IF(F46&gt;=J46,"Yes","No")</x:f>
        <x:v>No</x:v>
      </x:c>
    </x:row>
    <x:row r="47">
      <x:c r="A47" t="str">
        <x:v>S005</x:v>
      </x:c>
      <x:c r="B47" t="str">
        <x:v>Maths</x:v>
      </x:c>
      <x:c r="C47" t="str">
        <x:v>E102</x:v>
      </x:c>
      <x:c r="D47" t="str">
        <x:v>Final</x:v>
      </x:c>
      <x:c r="E47" t="str">
        <x:v>Term 2</x:v>
      </x:c>
      <x:c r="F47" s="34" t="n">
        <x:v>53.4</x:v>
      </x:c>
      <x:c r="G47" s="34" t="n">
        <x:v>100</x:v>
      </x:c>
      <x:c r="H47" t="str">
        <x:f>IF(F47="","",IF(F47&gt;=40,"Pass","Fail"))</x:f>
        <x:v>Pass</x:v>
      </x:c>
      <x:c r="I47" t="str">
        <x:f>VLOOKUP(A47,Students!$A$2:$F$31,5,FALSE)</x:f>
        <x:v>12C</x:v>
      </x:c>
      <x:c r="J47" t="n">
        <x:f>SUMIFS(Targets!$C$2:$C$16,Targets!$A$2:$A$16,I47,Targets!$B$2:$B$16,B47)</x:f>
        <x:v>70</x:v>
      </x:c>
      <x:c r="K47" t="str">
        <x:f>IF(F47&gt;=J47,"Yes","No")</x:f>
        <x:v>No</x:v>
      </x:c>
    </x:row>
    <x:row r="48">
      <x:c r="A48" t="str">
        <x:v>S005</x:v>
      </x:c>
      <x:c r="B48" t="str">
        <x:v>Physics</x:v>
      </x:c>
      <x:c r="C48" t="str">
        <x:v>E102</x:v>
      </x:c>
      <x:c r="D48" t="str">
        <x:v>Final</x:v>
      </x:c>
      <x:c r="E48" t="str">
        <x:v>Term 2</x:v>
      </x:c>
      <x:c r="F48" s="34" t="n">
        <x:v>56.5</x:v>
      </x:c>
      <x:c r="G48" s="34" t="n">
        <x:v>100</x:v>
      </x:c>
      <x:c r="H48" t="str">
        <x:f>IF(F48="","",IF(F48&gt;=40,"Pass","Fail"))</x:f>
        <x:v>Pass</x:v>
      </x:c>
      <x:c r="I48" t="str">
        <x:f>VLOOKUP(A48,Students!$A$2:$F$31,5,FALSE)</x:f>
        <x:v>12C</x:v>
      </x:c>
      <x:c r="J48" t="n">
        <x:f>SUMIFS(Targets!$C$2:$C$16,Targets!$A$2:$A$16,I48,Targets!$B$2:$B$16,B48)</x:f>
        <x:v>80</x:v>
      </x:c>
      <x:c r="K48" t="str">
        <x:f>IF(F48&gt;=J48,"Yes","No")</x:f>
        <x:v>No</x:v>
      </x:c>
    </x:row>
    <x:row r="49">
      <x:c r="A49" t="str">
        <x:v>S005</x:v>
      </x:c>
      <x:c r="B49" t="str">
        <x:v>Chemistry</x:v>
      </x:c>
      <x:c r="C49" t="str">
        <x:v>E102</x:v>
      </x:c>
      <x:c r="D49" t="str">
        <x:v>Final</x:v>
      </x:c>
      <x:c r="E49" t="str">
        <x:v>Term 2</x:v>
      </x:c>
      <x:c r="F49" s="34" t="n">
        <x:v>69.4</x:v>
      </x:c>
      <x:c r="G49" s="34" t="n">
        <x:v>100</x:v>
      </x:c>
      <x:c r="H49" t="str">
        <x:f>IF(F49="","",IF(F49&gt;=40,"Pass","Fail"))</x:f>
        <x:v>Pass</x:v>
      </x:c>
      <x:c r="I49" t="str">
        <x:f>VLOOKUP(A49,Students!$A$2:$F$31,5,FALSE)</x:f>
        <x:v>12C</x:v>
      </x:c>
      <x:c r="J49" t="n">
        <x:f>SUMIFS(Targets!$C$2:$C$16,Targets!$A$2:$A$16,I49,Targets!$B$2:$B$16,B49)</x:f>
        <x:v>65</x:v>
      </x:c>
      <x:c r="K49" t="str">
        <x:f>IF(F49&gt;=J49,"Yes","No")</x:f>
        <x:v>Yes</x:v>
      </x:c>
    </x:row>
    <x:row r="50">
      <x:c r="A50" t="str">
        <x:v>S005</x:v>
      </x:c>
      <x:c r="B50" t="str">
        <x:v>English</x:v>
      </x:c>
      <x:c r="C50" t="str">
        <x:v>E102</x:v>
      </x:c>
      <x:c r="D50" t="str">
        <x:v>Final</x:v>
      </x:c>
      <x:c r="E50" t="str">
        <x:v>Term 2</x:v>
      </x:c>
      <x:c r="F50" s="34" t="n">
        <x:v>64.6</x:v>
      </x:c>
      <x:c r="G50" s="34" t="n">
        <x:v>100</x:v>
      </x:c>
      <x:c r="H50" t="str">
        <x:f>IF(F50="","",IF(F50&gt;=40,"Pass","Fail"))</x:f>
        <x:v>Pass</x:v>
      </x:c>
      <x:c r="I50" t="str">
        <x:f>VLOOKUP(A50,Students!$A$2:$F$31,5,FALSE)</x:f>
        <x:v>12C</x:v>
      </x:c>
      <x:c r="J50" t="n">
        <x:f>SUMIFS(Targets!$C$2:$C$16,Targets!$A$2:$A$16,I50,Targets!$B$2:$B$16,B50)</x:f>
        <x:v>70</x:v>
      </x:c>
      <x:c r="K50" t="str">
        <x:f>IF(F50&gt;=J50,"Yes","No")</x:f>
        <x:v>No</x:v>
      </x:c>
    </x:row>
    <x:row r="51">
      <x:c r="A51" t="str">
        <x:v>S005</x:v>
      </x:c>
      <x:c r="B51" t="str">
        <x:v>Computer Science</x:v>
      </x:c>
      <x:c r="C51" t="str">
        <x:v>E102</x:v>
      </x:c>
      <x:c r="D51" t="str">
        <x:v>Final</x:v>
      </x:c>
      <x:c r="E51" t="str">
        <x:v>Term 2</x:v>
      </x:c>
      <x:c r="F51" s="34" t="n">
        <x:v>73.6</x:v>
      </x:c>
      <x:c r="G51" s="34" t="n">
        <x:v>100</x:v>
      </x:c>
      <x:c r="H51" t="str">
        <x:f>IF(F51="","",IF(F51&gt;=40,"Pass","Fail"))</x:f>
        <x:v>Pass</x:v>
      </x:c>
      <x:c r="I51" t="str">
        <x:f>VLOOKUP(A51,Students!$A$2:$F$31,5,FALSE)</x:f>
        <x:v>12C</x:v>
      </x:c>
      <x:c r="J51" t="n">
        <x:f>SUMIFS(Targets!$C$2:$C$16,Targets!$A$2:$A$16,I51,Targets!$B$2:$B$16,B51)</x:f>
        <x:v>80</x:v>
      </x:c>
      <x:c r="K51" t="str">
        <x:f>IF(F51&gt;=J51,"Yes","No")</x:f>
        <x:v>No</x:v>
      </x:c>
    </x:row>
    <x:row r="52">
      <x:c r="A52" t="str">
        <x:v>S006</x:v>
      </x:c>
      <x:c r="B52" t="str">
        <x:v>Maths</x:v>
      </x:c>
      <x:c r="C52" t="str">
        <x:v>E101</x:v>
      </x:c>
      <x:c r="D52" t="str">
        <x:v>Midterm</x:v>
      </x:c>
      <x:c r="E52" t="str">
        <x:v>Term 1</x:v>
      </x:c>
      <x:c r="F52" s="34" t="n">
        <x:v>46.8</x:v>
      </x:c>
      <x:c r="G52" s="34" t="n">
        <x:v>100</x:v>
      </x:c>
      <x:c r="H52" t="str">
        <x:f>IF(F52="","",IF(F52&gt;=40,"Pass","Fail"))</x:f>
        <x:v>Pass</x:v>
      </x:c>
      <x:c r="I52" t="str">
        <x:f>VLOOKUP(A52,Students!$A$2:$F$31,5,FALSE)</x:f>
        <x:v>12A</x:v>
      </x:c>
      <x:c r="J52" t="n">
        <x:f>SUMIFS(Targets!$C$2:$C$16,Targets!$A$2:$A$16,I52,Targets!$B$2:$B$16,B52)</x:f>
        <x:v>70</x:v>
      </x:c>
      <x:c r="K52" t="str">
        <x:f>IF(F52&gt;=J52,"Yes","No")</x:f>
        <x:v>No</x:v>
      </x:c>
    </x:row>
    <x:row r="53">
      <x:c r="A53" t="str">
        <x:v>S006</x:v>
      </x:c>
      <x:c r="B53" t="str">
        <x:v>Physics</x:v>
      </x:c>
      <x:c r="C53" t="str">
        <x:v>E101</x:v>
      </x:c>
      <x:c r="D53" t="str">
        <x:v>Midterm</x:v>
      </x:c>
      <x:c r="E53" t="str">
        <x:v>Term 1</x:v>
      </x:c>
      <x:c r="F53" s="34" t="n">
        <x:v>49.4</x:v>
      </x:c>
      <x:c r="G53" s="34" t="n">
        <x:v>100</x:v>
      </x:c>
      <x:c r="H53" t="str">
        <x:f>IF(F53="","",IF(F53&gt;=40,"Pass","Fail"))</x:f>
        <x:v>Pass</x:v>
      </x:c>
      <x:c r="I53" t="str">
        <x:f>VLOOKUP(A53,Students!$A$2:$F$31,5,FALSE)</x:f>
        <x:v>12A</x:v>
      </x:c>
      <x:c r="J53" t="n">
        <x:f>SUMIFS(Targets!$C$2:$C$16,Targets!$A$2:$A$16,I53,Targets!$B$2:$B$16,B53)</x:f>
        <x:v>60</x:v>
      </x:c>
      <x:c r="K53" t="str">
        <x:f>IF(F53&gt;=J53,"Yes","No")</x:f>
        <x:v>No</x:v>
      </x:c>
    </x:row>
    <x:row r="54">
      <x:c r="A54" t="str">
        <x:v>S006</x:v>
      </x:c>
      <x:c r="B54" t="str">
        <x:v>Chemistry</x:v>
      </x:c>
      <x:c r="C54" t="str">
        <x:v>E101</x:v>
      </x:c>
      <x:c r="D54" t="str">
        <x:v>Midterm</x:v>
      </x:c>
      <x:c r="E54" t="str">
        <x:v>Term 1</x:v>
      </x:c>
      <x:c r="F54" s="34" t="n">
        <x:v>43.4</x:v>
      </x:c>
      <x:c r="G54" s="34" t="n">
        <x:v>100</x:v>
      </x:c>
      <x:c r="H54" t="str">
        <x:f>IF(F54="","",IF(F54&gt;=40,"Pass","Fail"))</x:f>
        <x:v>Pass</x:v>
      </x:c>
      <x:c r="I54" t="str">
        <x:f>VLOOKUP(A54,Students!$A$2:$F$31,5,FALSE)</x:f>
        <x:v>12A</x:v>
      </x:c>
      <x:c r="J54" t="n">
        <x:f>SUMIFS(Targets!$C$2:$C$16,Targets!$A$2:$A$16,I54,Targets!$B$2:$B$16,B54)</x:f>
        <x:v>60</x:v>
      </x:c>
      <x:c r="K54" t="str">
        <x:f>IF(F54&gt;=J54,"Yes","No")</x:f>
        <x:v>No</x:v>
      </x:c>
    </x:row>
    <x:row r="55">
      <x:c r="A55" t="str">
        <x:v>S006</x:v>
      </x:c>
      <x:c r="B55" t="str">
        <x:v>English</x:v>
      </x:c>
      <x:c r="C55" t="str">
        <x:v>E101</x:v>
      </x:c>
      <x:c r="D55" t="str">
        <x:v>Midterm</x:v>
      </x:c>
      <x:c r="E55" t="str">
        <x:v>Term 1</x:v>
      </x:c>
      <x:c r="F55" s="34" t="n">
        <x:v>90.9</x:v>
      </x:c>
      <x:c r="G55" s="34" t="n">
        <x:v>100</x:v>
      </x:c>
      <x:c r="H55" t="str">
        <x:f>IF(F55="","",IF(F55&gt;=40,"Pass","Fail"))</x:f>
        <x:v>Pass</x:v>
      </x:c>
      <x:c r="I55" t="str">
        <x:f>VLOOKUP(A55,Students!$A$2:$F$31,5,FALSE)</x:f>
        <x:v>12A</x:v>
      </x:c>
      <x:c r="J55" t="n">
        <x:f>SUMIFS(Targets!$C$2:$C$16,Targets!$A$2:$A$16,I55,Targets!$B$2:$B$16,B55)</x:f>
        <x:v>60</x:v>
      </x:c>
      <x:c r="K55" t="str">
        <x:f>IF(F55&gt;=J55,"Yes","No")</x:f>
        <x:v>Yes</x:v>
      </x:c>
    </x:row>
    <x:row r="56">
      <x:c r="A56" t="str">
        <x:v>S006</x:v>
      </x:c>
      <x:c r="B56" t="str">
        <x:v>Computer Science</x:v>
      </x:c>
      <x:c r="C56" t="str">
        <x:v>E101</x:v>
      </x:c>
      <x:c r="D56" t="str">
        <x:v>Midterm</x:v>
      </x:c>
      <x:c r="E56" t="str">
        <x:v>Term 1</x:v>
      </x:c>
      <x:c r="F56" s="34" t="n">
        <x:v>48.5</x:v>
      </x:c>
      <x:c r="G56" s="34" t="n">
        <x:v>100</x:v>
      </x:c>
      <x:c r="H56" t="str">
        <x:f>IF(F56="","",IF(F56&gt;=40,"Pass","Fail"))</x:f>
        <x:v>Pass</x:v>
      </x:c>
      <x:c r="I56" t="str">
        <x:f>VLOOKUP(A56,Students!$A$2:$F$31,5,FALSE)</x:f>
        <x:v>12A</x:v>
      </x:c>
      <x:c r="J56" t="n">
        <x:f>SUMIFS(Targets!$C$2:$C$16,Targets!$A$2:$A$16,I56,Targets!$B$2:$B$16,B56)</x:f>
        <x:v>80</x:v>
      </x:c>
      <x:c r="K56" t="str">
        <x:f>IF(F56&gt;=J56,"Yes","No")</x:f>
        <x:v>No</x:v>
      </x:c>
    </x:row>
    <x:row r="57">
      <x:c r="A57" t="str">
        <x:v>S006</x:v>
      </x:c>
      <x:c r="B57" t="str">
        <x:v>Maths</x:v>
      </x:c>
      <x:c r="C57" t="str">
        <x:v>E102</x:v>
      </x:c>
      <x:c r="D57" t="str">
        <x:v>Final</x:v>
      </x:c>
      <x:c r="E57" t="str">
        <x:v>Term 2</x:v>
      </x:c>
      <x:c r="F57" s="34" t="n">
        <x:v>64.7</x:v>
      </x:c>
      <x:c r="G57" s="34" t="n">
        <x:v>100</x:v>
      </x:c>
      <x:c r="H57" t="str">
        <x:f>IF(F57="","",IF(F57&gt;=40,"Pass","Fail"))</x:f>
        <x:v>Pass</x:v>
      </x:c>
      <x:c r="I57" t="str">
        <x:f>VLOOKUP(A57,Students!$A$2:$F$31,5,FALSE)</x:f>
        <x:v>12A</x:v>
      </x:c>
      <x:c r="J57" t="n">
        <x:f>SUMIFS(Targets!$C$2:$C$16,Targets!$A$2:$A$16,I57,Targets!$B$2:$B$16,B57)</x:f>
        <x:v>70</x:v>
      </x:c>
      <x:c r="K57" t="str">
        <x:f>IF(F57&gt;=J57,"Yes","No")</x:f>
        <x:v>No</x:v>
      </x:c>
    </x:row>
    <x:row r="58">
      <x:c r="A58" t="str">
        <x:v>S006</x:v>
      </x:c>
      <x:c r="B58" t="str">
        <x:v>Physics</x:v>
      </x:c>
      <x:c r="C58" t="str">
        <x:v>E102</x:v>
      </x:c>
      <x:c r="D58" t="str">
        <x:v>Final</x:v>
      </x:c>
      <x:c r="E58" t="str">
        <x:v>Term 2</x:v>
      </x:c>
      <x:c r="F58" s="34" t="n">
        <x:v>47.8</x:v>
      </x:c>
      <x:c r="G58" s="34" t="n">
        <x:v>100</x:v>
      </x:c>
      <x:c r="H58" t="str">
        <x:f>IF(F58="","",IF(F58&gt;=40,"Pass","Fail"))</x:f>
        <x:v>Pass</x:v>
      </x:c>
      <x:c r="I58" t="str">
        <x:f>VLOOKUP(A58,Students!$A$2:$F$31,5,FALSE)</x:f>
        <x:v>12A</x:v>
      </x:c>
      <x:c r="J58" t="n">
        <x:f>SUMIFS(Targets!$C$2:$C$16,Targets!$A$2:$A$16,I58,Targets!$B$2:$B$16,B58)</x:f>
        <x:v>60</x:v>
      </x:c>
      <x:c r="K58" t="str">
        <x:f>IF(F58&gt;=J58,"Yes","No")</x:f>
        <x:v>No</x:v>
      </x:c>
    </x:row>
    <x:row r="59">
      <x:c r="A59" t="str">
        <x:v>S006</x:v>
      </x:c>
      <x:c r="B59" t="str">
        <x:v>Chemistry</x:v>
      </x:c>
      <x:c r="C59" t="str">
        <x:v>E102</x:v>
      </x:c>
      <x:c r="D59" t="str">
        <x:v>Final</x:v>
      </x:c>
      <x:c r="E59" t="str">
        <x:v>Term 2</x:v>
      </x:c>
      <x:c r="F59" s="34" t="n">
        <x:v>51.4</x:v>
      </x:c>
      <x:c r="G59" s="34" t="n">
        <x:v>100</x:v>
      </x:c>
      <x:c r="H59" t="str">
        <x:f>IF(F59="","",IF(F59&gt;=40,"Pass","Fail"))</x:f>
        <x:v>Pass</x:v>
      </x:c>
      <x:c r="I59" t="str">
        <x:f>VLOOKUP(A59,Students!$A$2:$F$31,5,FALSE)</x:f>
        <x:v>12A</x:v>
      </x:c>
      <x:c r="J59" t="n">
        <x:f>SUMIFS(Targets!$C$2:$C$16,Targets!$A$2:$A$16,I59,Targets!$B$2:$B$16,B59)</x:f>
        <x:v>60</x:v>
      </x:c>
      <x:c r="K59" t="str">
        <x:f>IF(F59&gt;=J59,"Yes","No")</x:f>
        <x:v>No</x:v>
      </x:c>
    </x:row>
    <x:row r="60">
      <x:c r="A60" t="str">
        <x:v>S006</x:v>
      </x:c>
      <x:c r="B60" t="str">
        <x:v>English</x:v>
      </x:c>
      <x:c r="C60" t="str">
        <x:v>E102</x:v>
      </x:c>
      <x:c r="D60" t="str">
        <x:v>Final</x:v>
      </x:c>
      <x:c r="E60" t="str">
        <x:v>Term 2</x:v>
      </x:c>
      <x:c r="F60" s="34" t="n">
        <x:v>64.5</x:v>
      </x:c>
      <x:c r="G60" s="34" t="n">
        <x:v>100</x:v>
      </x:c>
      <x:c r="H60" t="str">
        <x:f>IF(F60="","",IF(F60&gt;=40,"Pass","Fail"))</x:f>
        <x:v>Pass</x:v>
      </x:c>
      <x:c r="I60" t="str">
        <x:f>VLOOKUP(A60,Students!$A$2:$F$31,5,FALSE)</x:f>
        <x:v>12A</x:v>
      </x:c>
      <x:c r="J60" t="n">
        <x:f>SUMIFS(Targets!$C$2:$C$16,Targets!$A$2:$A$16,I60,Targets!$B$2:$B$16,B60)</x:f>
        <x:v>60</x:v>
      </x:c>
      <x:c r="K60" t="str">
        <x:f>IF(F60&gt;=J60,"Yes","No")</x:f>
        <x:v>Yes</x:v>
      </x:c>
    </x:row>
    <x:row r="61">
      <x:c r="A61" t="str">
        <x:v>S006</x:v>
      </x:c>
      <x:c r="B61" t="str">
        <x:v>Computer Science</x:v>
      </x:c>
      <x:c r="C61" t="str">
        <x:v>E102</x:v>
      </x:c>
      <x:c r="D61" t="str">
        <x:v>Final</x:v>
      </x:c>
      <x:c r="E61" t="str">
        <x:v>Term 2</x:v>
      </x:c>
      <x:c r="F61" s="34" t="n">
        <x:v>44.9</x:v>
      </x:c>
      <x:c r="G61" s="34" t="n">
        <x:v>100</x:v>
      </x:c>
      <x:c r="H61" t="str">
        <x:f>IF(F61="","",IF(F61&gt;=40,"Pass","Fail"))</x:f>
        <x:v>Pass</x:v>
      </x:c>
      <x:c r="I61" t="str">
        <x:f>VLOOKUP(A61,Students!$A$2:$F$31,5,FALSE)</x:f>
        <x:v>12A</x:v>
      </x:c>
      <x:c r="J61" t="n">
        <x:f>SUMIFS(Targets!$C$2:$C$16,Targets!$A$2:$A$16,I61,Targets!$B$2:$B$16,B61)</x:f>
        <x:v>80</x:v>
      </x:c>
      <x:c r="K61" t="str">
        <x:f>IF(F61&gt;=J61,"Yes","No")</x:f>
        <x:v>No</x:v>
      </x:c>
    </x:row>
    <x:row r="62">
      <x:c r="A62" t="str">
        <x:v>S007</x:v>
      </x:c>
      <x:c r="B62" t="str">
        <x:v>Maths</x:v>
      </x:c>
      <x:c r="C62" t="str">
        <x:v>E101</x:v>
      </x:c>
      <x:c r="D62" t="str">
        <x:v>Midterm</x:v>
      </x:c>
      <x:c r="E62" t="str">
        <x:v>Term 1</x:v>
      </x:c>
      <x:c r="F62" s="34" t="n">
        <x:v>59.2</x:v>
      </x:c>
      <x:c r="G62" s="34" t="n">
        <x:v>100</x:v>
      </x:c>
      <x:c r="H62" t="str">
        <x:f>IF(F62="","",IF(F62&gt;=40,"Pass","Fail"))</x:f>
        <x:v>Pass</x:v>
      </x:c>
      <x:c r="I62" t="str">
        <x:f>VLOOKUP(A62,Students!$A$2:$F$31,5,FALSE)</x:f>
        <x:v>12A</x:v>
      </x:c>
      <x:c r="J62" t="n">
        <x:f>SUMIFS(Targets!$C$2:$C$16,Targets!$A$2:$A$16,I62,Targets!$B$2:$B$16,B62)</x:f>
        <x:v>70</x:v>
      </x:c>
      <x:c r="K62" t="str">
        <x:f>IF(F62&gt;=J62,"Yes","No")</x:f>
        <x:v>No</x:v>
      </x:c>
    </x:row>
    <x:row r="63">
      <x:c r="A63" t="str">
        <x:v>S007</x:v>
      </x:c>
      <x:c r="B63" t="str">
        <x:v>Physics</x:v>
      </x:c>
      <x:c r="C63" t="str">
        <x:v>E101</x:v>
      </x:c>
      <x:c r="D63" t="str">
        <x:v>Midterm</x:v>
      </x:c>
      <x:c r="E63" t="str">
        <x:v>Term 1</x:v>
      </x:c>
      <x:c r="F63" s="34" t="n">
        <x:v>51.2</x:v>
      </x:c>
      <x:c r="G63" s="34" t="n">
        <x:v>100</x:v>
      </x:c>
      <x:c r="H63" t="str">
        <x:f>IF(F63="","",IF(F63&gt;=40,"Pass","Fail"))</x:f>
        <x:v>Pass</x:v>
      </x:c>
      <x:c r="I63" t="str">
        <x:f>VLOOKUP(A63,Students!$A$2:$F$31,5,FALSE)</x:f>
        <x:v>12A</x:v>
      </x:c>
      <x:c r="J63" t="n">
        <x:f>SUMIFS(Targets!$C$2:$C$16,Targets!$A$2:$A$16,I63,Targets!$B$2:$B$16,B63)</x:f>
        <x:v>60</x:v>
      </x:c>
      <x:c r="K63" t="str">
        <x:f>IF(F63&gt;=J63,"Yes","No")</x:f>
        <x:v>No</x:v>
      </x:c>
    </x:row>
    <x:row r="64">
      <x:c r="A64" t="str">
        <x:v>S007</x:v>
      </x:c>
      <x:c r="B64" t="str">
        <x:v>Chemistry</x:v>
      </x:c>
      <x:c r="C64" t="str">
        <x:v>E101</x:v>
      </x:c>
      <x:c r="D64" t="str">
        <x:v>Midterm</x:v>
      </x:c>
      <x:c r="E64" t="str">
        <x:v>Term 1</x:v>
      </x:c>
      <x:c r="F64" s="34" t="n">
        <x:v>53.5</x:v>
      </x:c>
      <x:c r="G64" s="34" t="n">
        <x:v>100</x:v>
      </x:c>
      <x:c r="H64" t="str">
        <x:f>IF(F64="","",IF(F64&gt;=40,"Pass","Fail"))</x:f>
        <x:v>Pass</x:v>
      </x:c>
      <x:c r="I64" t="str">
        <x:f>VLOOKUP(A64,Students!$A$2:$F$31,5,FALSE)</x:f>
        <x:v>12A</x:v>
      </x:c>
      <x:c r="J64" t="n">
        <x:f>SUMIFS(Targets!$C$2:$C$16,Targets!$A$2:$A$16,I64,Targets!$B$2:$B$16,B64)</x:f>
        <x:v>60</x:v>
      </x:c>
      <x:c r="K64" t="str">
        <x:f>IF(F64&gt;=J64,"Yes","No")</x:f>
        <x:v>No</x:v>
      </x:c>
    </x:row>
    <x:row r="65">
      <x:c r="A65" t="str">
        <x:v>S007</x:v>
      </x:c>
      <x:c r="B65" t="str">
        <x:v>English</x:v>
      </x:c>
      <x:c r="C65" t="str">
        <x:v>E101</x:v>
      </x:c>
      <x:c r="D65" t="str">
        <x:v>Midterm</x:v>
      </x:c>
      <x:c r="E65" t="str">
        <x:v>Term 1</x:v>
      </x:c>
      <x:c r="F65" s="34" t="n">
        <x:v>77.6</x:v>
      </x:c>
      <x:c r="G65" s="34" t="n">
        <x:v>100</x:v>
      </x:c>
      <x:c r="H65" t="str">
        <x:f>IF(F65="","",IF(F65&gt;=40,"Pass","Fail"))</x:f>
        <x:v>Pass</x:v>
      </x:c>
      <x:c r="I65" t="str">
        <x:f>VLOOKUP(A65,Students!$A$2:$F$31,5,FALSE)</x:f>
        <x:v>12A</x:v>
      </x:c>
      <x:c r="J65" t="n">
        <x:f>SUMIFS(Targets!$C$2:$C$16,Targets!$A$2:$A$16,I65,Targets!$B$2:$B$16,B65)</x:f>
        <x:v>60</x:v>
      </x:c>
      <x:c r="K65" t="str">
        <x:f>IF(F65&gt;=J65,"Yes","No")</x:f>
        <x:v>Yes</x:v>
      </x:c>
    </x:row>
    <x:row r="66">
      <x:c r="A66" t="str">
        <x:v>S007</x:v>
      </x:c>
      <x:c r="B66" t="str">
        <x:v>Computer Science</x:v>
      </x:c>
      <x:c r="C66" t="str">
        <x:v>E101</x:v>
      </x:c>
      <x:c r="D66" t="str">
        <x:v>Midterm</x:v>
      </x:c>
      <x:c r="E66" t="str">
        <x:v>Term 1</x:v>
      </x:c>
      <x:c r="F66" s="34" t="n">
        <x:v>74.7</x:v>
      </x:c>
      <x:c r="G66" s="34" t="n">
        <x:v>100</x:v>
      </x:c>
      <x:c r="H66" t="str">
        <x:f>IF(F66="","",IF(F66&gt;=40,"Pass","Fail"))</x:f>
        <x:v>Pass</x:v>
      </x:c>
      <x:c r="I66" t="str">
        <x:f>VLOOKUP(A66,Students!$A$2:$F$31,5,FALSE)</x:f>
        <x:v>12A</x:v>
      </x:c>
      <x:c r="J66" t="n">
        <x:f>SUMIFS(Targets!$C$2:$C$16,Targets!$A$2:$A$16,I66,Targets!$B$2:$B$16,B66)</x:f>
        <x:v>80</x:v>
      </x:c>
      <x:c r="K66" t="str">
        <x:f>IF(F66&gt;=J66,"Yes","No")</x:f>
        <x:v>No</x:v>
      </x:c>
    </x:row>
    <x:row r="67">
      <x:c r="A67" t="str">
        <x:v>S007</x:v>
      </x:c>
      <x:c r="B67" t="str">
        <x:v>Maths</x:v>
      </x:c>
      <x:c r="C67" t="str">
        <x:v>E102</x:v>
      </x:c>
      <x:c r="D67" t="str">
        <x:v>Final</x:v>
      </x:c>
      <x:c r="E67" t="str">
        <x:v>Term 2</x:v>
      </x:c>
      <x:c r="F67" s="34" t="n">
        <x:v>56.3</x:v>
      </x:c>
      <x:c r="G67" s="34" t="n">
        <x:v>100</x:v>
      </x:c>
      <x:c r="H67" t="str">
        <x:f>IF(F67="","",IF(F67&gt;=40,"Pass","Fail"))</x:f>
        <x:v>Pass</x:v>
      </x:c>
      <x:c r="I67" t="str">
        <x:f>VLOOKUP(A67,Students!$A$2:$F$31,5,FALSE)</x:f>
        <x:v>12A</x:v>
      </x:c>
      <x:c r="J67" t="n">
        <x:f>SUMIFS(Targets!$C$2:$C$16,Targets!$A$2:$A$16,I67,Targets!$B$2:$B$16,B67)</x:f>
        <x:v>70</x:v>
      </x:c>
      <x:c r="K67" t="str">
        <x:f>IF(F67&gt;=J67,"Yes","No")</x:f>
        <x:v>No</x:v>
      </x:c>
    </x:row>
    <x:row r="68">
      <x:c r="A68" t="str">
        <x:v>S007</x:v>
      </x:c>
      <x:c r="B68" t="str">
        <x:v>Physics</x:v>
      </x:c>
      <x:c r="C68" t="str">
        <x:v>E102</x:v>
      </x:c>
      <x:c r="D68" t="str">
        <x:v>Final</x:v>
      </x:c>
      <x:c r="E68" t="str">
        <x:v>Term 2</x:v>
      </x:c>
      <x:c r="F68" s="34" t="n">
        <x:v>58.9</x:v>
      </x:c>
      <x:c r="G68" s="34" t="n">
        <x:v>100</x:v>
      </x:c>
      <x:c r="H68" t="str">
        <x:f>IF(F68="","",IF(F68&gt;=40,"Pass","Fail"))</x:f>
        <x:v>Pass</x:v>
      </x:c>
      <x:c r="I68" t="str">
        <x:f>VLOOKUP(A68,Students!$A$2:$F$31,5,FALSE)</x:f>
        <x:v>12A</x:v>
      </x:c>
      <x:c r="J68" t="n">
        <x:f>SUMIFS(Targets!$C$2:$C$16,Targets!$A$2:$A$16,I68,Targets!$B$2:$B$16,B68)</x:f>
        <x:v>60</x:v>
      </x:c>
      <x:c r="K68" t="str">
        <x:f>IF(F68&gt;=J68,"Yes","No")</x:f>
        <x:v>No</x:v>
      </x:c>
    </x:row>
    <x:row r="69">
      <x:c r="A69" t="str">
        <x:v>S007</x:v>
      </x:c>
      <x:c r="B69" t="str">
        <x:v>Chemistry</x:v>
      </x:c>
      <x:c r="C69" t="str">
        <x:v>E102</x:v>
      </x:c>
      <x:c r="D69" t="str">
        <x:v>Final</x:v>
      </x:c>
      <x:c r="E69" t="str">
        <x:v>Term 2</x:v>
      </x:c>
      <x:c r="F69" s="34" t="n">
        <x:v>74.1</x:v>
      </x:c>
      <x:c r="G69" s="34" t="n">
        <x:v>100</x:v>
      </x:c>
      <x:c r="H69" t="str">
        <x:f>IF(F69="","",IF(F69&gt;=40,"Pass","Fail"))</x:f>
        <x:v>Pass</x:v>
      </x:c>
      <x:c r="I69" t="str">
        <x:f>VLOOKUP(A69,Students!$A$2:$F$31,5,FALSE)</x:f>
        <x:v>12A</x:v>
      </x:c>
      <x:c r="J69" t="n">
        <x:f>SUMIFS(Targets!$C$2:$C$16,Targets!$A$2:$A$16,I69,Targets!$B$2:$B$16,B69)</x:f>
        <x:v>60</x:v>
      </x:c>
      <x:c r="K69" t="str">
        <x:f>IF(F69&gt;=J69,"Yes","No")</x:f>
        <x:v>Yes</x:v>
      </x:c>
    </x:row>
    <x:row r="70">
      <x:c r="A70" t="str">
        <x:v>S007</x:v>
      </x:c>
      <x:c r="B70" t="str">
        <x:v>English</x:v>
      </x:c>
      <x:c r="C70" t="str">
        <x:v>E102</x:v>
      </x:c>
      <x:c r="D70" t="str">
        <x:v>Final</x:v>
      </x:c>
      <x:c r="E70" t="str">
        <x:v>Term 2</x:v>
      </x:c>
      <x:c r="F70" s="34" t="n">
        <x:v>52.4</x:v>
      </x:c>
      <x:c r="G70" s="34" t="n">
        <x:v>100</x:v>
      </x:c>
      <x:c r="H70" t="str">
        <x:f>IF(F70="","",IF(F70&gt;=40,"Pass","Fail"))</x:f>
        <x:v>Pass</x:v>
      </x:c>
      <x:c r="I70" t="str">
        <x:f>VLOOKUP(A70,Students!$A$2:$F$31,5,FALSE)</x:f>
        <x:v>12A</x:v>
      </x:c>
      <x:c r="J70" t="n">
        <x:f>SUMIFS(Targets!$C$2:$C$16,Targets!$A$2:$A$16,I70,Targets!$B$2:$B$16,B70)</x:f>
        <x:v>60</x:v>
      </x:c>
      <x:c r="K70" t="str">
        <x:f>IF(F70&gt;=J70,"Yes","No")</x:f>
        <x:v>No</x:v>
      </x:c>
    </x:row>
    <x:row r="71">
      <x:c r="A71" t="str">
        <x:v>S007</x:v>
      </x:c>
      <x:c r="B71" t="str">
        <x:v>Computer Science</x:v>
      </x:c>
      <x:c r="C71" t="str">
        <x:v>E102</x:v>
      </x:c>
      <x:c r="D71" t="str">
        <x:v>Final</x:v>
      </x:c>
      <x:c r="E71" t="str">
        <x:v>Term 2</x:v>
      </x:c>
      <x:c r="F71" s="34" t="n">
        <x:v>68.1</x:v>
      </x:c>
      <x:c r="G71" s="34" t="n">
        <x:v>100</x:v>
      </x:c>
      <x:c r="H71" t="str">
        <x:f>IF(F71="","",IF(F71&gt;=40,"Pass","Fail"))</x:f>
        <x:v>Pass</x:v>
      </x:c>
      <x:c r="I71" t="str">
        <x:f>VLOOKUP(A71,Students!$A$2:$F$31,5,FALSE)</x:f>
        <x:v>12A</x:v>
      </x:c>
      <x:c r="J71" t="n">
        <x:f>SUMIFS(Targets!$C$2:$C$16,Targets!$A$2:$A$16,I71,Targets!$B$2:$B$16,B71)</x:f>
        <x:v>80</x:v>
      </x:c>
      <x:c r="K71" t="str">
        <x:f>IF(F71&gt;=J71,"Yes","No")</x:f>
        <x:v>No</x:v>
      </x:c>
    </x:row>
    <x:row r="72">
      <x:c r="A72" t="str">
        <x:v>S008</x:v>
      </x:c>
      <x:c r="B72" t="str">
        <x:v>Maths</x:v>
      </x:c>
      <x:c r="C72" t="str">
        <x:v>E101</x:v>
      </x:c>
      <x:c r="D72" t="str">
        <x:v>Midterm</x:v>
      </x:c>
      <x:c r="E72" t="str">
        <x:v>Term 1</x:v>
      </x:c>
      <x:c r="F72" s="34" t="n">
        <x:v>100</x:v>
      </x:c>
      <x:c r="G72" s="34" t="n">
        <x:v>100</x:v>
      </x:c>
      <x:c r="H72" t="str">
        <x:f>IF(F72="","",IF(F72&gt;=40,"Pass","Fail"))</x:f>
        <x:v>Pass</x:v>
      </x:c>
      <x:c r="I72" t="str">
        <x:f>VLOOKUP(A72,Students!$A$2:$F$31,5,FALSE)</x:f>
        <x:v>12A</x:v>
      </x:c>
      <x:c r="J72" t="n">
        <x:f>SUMIFS(Targets!$C$2:$C$16,Targets!$A$2:$A$16,I72,Targets!$B$2:$B$16,B72)</x:f>
        <x:v>70</x:v>
      </x:c>
      <x:c r="K72" t="str">
        <x:f>IF(F72&gt;=J72,"Yes","No")</x:f>
        <x:v>Yes</x:v>
      </x:c>
    </x:row>
    <x:row r="73">
      <x:c r="A73" t="str">
        <x:v>S008</x:v>
      </x:c>
      <x:c r="B73" t="str">
        <x:v>Physics</x:v>
      </x:c>
      <x:c r="C73" t="str">
        <x:v>E101</x:v>
      </x:c>
      <x:c r="D73" t="str">
        <x:v>Midterm</x:v>
      </x:c>
      <x:c r="E73" t="str">
        <x:v>Term 1</x:v>
      </x:c>
      <x:c r="F73" s="34" t="n">
        <x:v>61.4</x:v>
      </x:c>
      <x:c r="G73" s="34" t="n">
        <x:v>100</x:v>
      </x:c>
      <x:c r="H73" t="str">
        <x:f>IF(F73="","",IF(F73&gt;=40,"Pass","Fail"))</x:f>
        <x:v>Pass</x:v>
      </x:c>
      <x:c r="I73" t="str">
        <x:f>VLOOKUP(A73,Students!$A$2:$F$31,5,FALSE)</x:f>
        <x:v>12A</x:v>
      </x:c>
      <x:c r="J73" t="n">
        <x:f>SUMIFS(Targets!$C$2:$C$16,Targets!$A$2:$A$16,I73,Targets!$B$2:$B$16,B73)</x:f>
        <x:v>60</x:v>
      </x:c>
      <x:c r="K73" t="str">
        <x:f>IF(F73&gt;=J73,"Yes","No")</x:f>
        <x:v>Yes</x:v>
      </x:c>
    </x:row>
    <x:row r="74">
      <x:c r="A74" t="str">
        <x:v>S008</x:v>
      </x:c>
      <x:c r="B74" t="str">
        <x:v>Chemistry</x:v>
      </x:c>
      <x:c r="C74" t="str">
        <x:v>E101</x:v>
      </x:c>
      <x:c r="D74" t="str">
        <x:v>Midterm</x:v>
      </x:c>
      <x:c r="E74" t="str">
        <x:v>Term 1</x:v>
      </x:c>
      <x:c r="F74" s="34" t="n">
        <x:v>75.2</x:v>
      </x:c>
      <x:c r="G74" s="34" t="n">
        <x:v>100</x:v>
      </x:c>
      <x:c r="H74" t="str">
        <x:f>IF(F74="","",IF(F74&gt;=40,"Pass","Fail"))</x:f>
        <x:v>Pass</x:v>
      </x:c>
      <x:c r="I74" t="str">
        <x:f>VLOOKUP(A74,Students!$A$2:$F$31,5,FALSE)</x:f>
        <x:v>12A</x:v>
      </x:c>
      <x:c r="J74" t="n">
        <x:f>SUMIFS(Targets!$C$2:$C$16,Targets!$A$2:$A$16,I74,Targets!$B$2:$B$16,B74)</x:f>
        <x:v>60</x:v>
      </x:c>
      <x:c r="K74" t="str">
        <x:f>IF(F74&gt;=J74,"Yes","No")</x:f>
        <x:v>Yes</x:v>
      </x:c>
    </x:row>
    <x:row r="75">
      <x:c r="A75" t="str">
        <x:v>S008</x:v>
      </x:c>
      <x:c r="B75" t="str">
        <x:v>English</x:v>
      </x:c>
      <x:c r="C75" t="str">
        <x:v>E101</x:v>
      </x:c>
      <x:c r="D75" t="str">
        <x:v>Midterm</x:v>
      </x:c>
      <x:c r="E75" t="str">
        <x:v>Term 1</x:v>
      </x:c>
      <x:c r="F75" s="34" t="n">
        <x:v>89.5</x:v>
      </x:c>
      <x:c r="G75" s="34" t="n">
        <x:v>100</x:v>
      </x:c>
      <x:c r="H75" t="str">
        <x:f>IF(F75="","",IF(F75&gt;=40,"Pass","Fail"))</x:f>
        <x:v>Pass</x:v>
      </x:c>
      <x:c r="I75" t="str">
        <x:f>VLOOKUP(A75,Students!$A$2:$F$31,5,FALSE)</x:f>
        <x:v>12A</x:v>
      </x:c>
      <x:c r="J75" t="n">
        <x:f>SUMIFS(Targets!$C$2:$C$16,Targets!$A$2:$A$16,I75,Targets!$B$2:$B$16,B75)</x:f>
        <x:v>60</x:v>
      </x:c>
      <x:c r="K75" t="str">
        <x:f>IF(F75&gt;=J75,"Yes","No")</x:f>
        <x:v>Yes</x:v>
      </x:c>
    </x:row>
    <x:row r="76">
      <x:c r="A76" t="str">
        <x:v>S008</x:v>
      </x:c>
      <x:c r="B76" t="str">
        <x:v>Computer Science</x:v>
      </x:c>
      <x:c r="C76" t="str">
        <x:v>E101</x:v>
      </x:c>
      <x:c r="D76" t="str">
        <x:v>Midterm</x:v>
      </x:c>
      <x:c r="E76" t="str">
        <x:v>Term 1</x:v>
      </x:c>
      <x:c r="F76" s="34" t="n">
        <x:v>72.6</x:v>
      </x:c>
      <x:c r="G76" s="34" t="n">
        <x:v>100</x:v>
      </x:c>
      <x:c r="H76" t="str">
        <x:f>IF(F76="","",IF(F76&gt;=40,"Pass","Fail"))</x:f>
        <x:v>Pass</x:v>
      </x:c>
      <x:c r="I76" t="str">
        <x:f>VLOOKUP(A76,Students!$A$2:$F$31,5,FALSE)</x:f>
        <x:v>12A</x:v>
      </x:c>
      <x:c r="J76" t="n">
        <x:f>SUMIFS(Targets!$C$2:$C$16,Targets!$A$2:$A$16,I76,Targets!$B$2:$B$16,B76)</x:f>
        <x:v>80</x:v>
      </x:c>
      <x:c r="K76" t="str">
        <x:f>IF(F76&gt;=J76,"Yes","No")</x:f>
        <x:v>No</x:v>
      </x:c>
    </x:row>
    <x:row r="77">
      <x:c r="A77" t="str">
        <x:v>S008</x:v>
      </x:c>
      <x:c r="B77" t="str">
        <x:v>Maths</x:v>
      </x:c>
      <x:c r="C77" t="str">
        <x:v>E102</x:v>
      </x:c>
      <x:c r="D77" t="str">
        <x:v>Final</x:v>
      </x:c>
      <x:c r="E77" t="str">
        <x:v>Term 2</x:v>
      </x:c>
      <x:c r="F77" s="34" t="n">
        <x:v>75.1</x:v>
      </x:c>
      <x:c r="G77" s="34" t="n">
        <x:v>100</x:v>
      </x:c>
      <x:c r="H77" t="str">
        <x:f>IF(F77="","",IF(F77&gt;=40,"Pass","Fail"))</x:f>
        <x:v>Pass</x:v>
      </x:c>
      <x:c r="I77" t="str">
        <x:f>VLOOKUP(A77,Students!$A$2:$F$31,5,FALSE)</x:f>
        <x:v>12A</x:v>
      </x:c>
      <x:c r="J77" t="n">
        <x:f>SUMIFS(Targets!$C$2:$C$16,Targets!$A$2:$A$16,I77,Targets!$B$2:$B$16,B77)</x:f>
        <x:v>70</x:v>
      </x:c>
      <x:c r="K77" t="str">
        <x:f>IF(F77&gt;=J77,"Yes","No")</x:f>
        <x:v>Yes</x:v>
      </x:c>
    </x:row>
    <x:row r="78">
      <x:c r="A78" t="str">
        <x:v>S008</x:v>
      </x:c>
      <x:c r="B78" t="str">
        <x:v>Physics</x:v>
      </x:c>
      <x:c r="C78" t="str">
        <x:v>E102</x:v>
      </x:c>
      <x:c r="D78" t="str">
        <x:v>Final</x:v>
      </x:c>
      <x:c r="E78" t="str">
        <x:v>Term 2</x:v>
      </x:c>
      <x:c r="F78" s="34" t="n">
        <x:v>79.4</x:v>
      </x:c>
      <x:c r="G78" s="34" t="n">
        <x:v>100</x:v>
      </x:c>
      <x:c r="H78" t="str">
        <x:f>IF(F78="","",IF(F78&gt;=40,"Pass","Fail"))</x:f>
        <x:v>Pass</x:v>
      </x:c>
      <x:c r="I78" t="str">
        <x:f>VLOOKUP(A78,Students!$A$2:$F$31,5,FALSE)</x:f>
        <x:v>12A</x:v>
      </x:c>
      <x:c r="J78" t="n">
        <x:f>SUMIFS(Targets!$C$2:$C$16,Targets!$A$2:$A$16,I78,Targets!$B$2:$B$16,B78)</x:f>
        <x:v>60</x:v>
      </x:c>
      <x:c r="K78" t="str">
        <x:f>IF(F78&gt;=J78,"Yes","No")</x:f>
        <x:v>Yes</x:v>
      </x:c>
    </x:row>
    <x:row r="79">
      <x:c r="A79" t="str">
        <x:v>S008</x:v>
      </x:c>
      <x:c r="B79" t="str">
        <x:v>Chemistry</x:v>
      </x:c>
      <x:c r="C79" t="str">
        <x:v>E102</x:v>
      </x:c>
      <x:c r="D79" t="str">
        <x:v>Final</x:v>
      </x:c>
      <x:c r="E79" t="str">
        <x:v>Term 2</x:v>
      </x:c>
      <x:c r="F79" s="34" t="n">
        <x:v>96.8</x:v>
      </x:c>
      <x:c r="G79" s="34" t="n">
        <x:v>100</x:v>
      </x:c>
      <x:c r="H79" t="str">
        <x:f>IF(F79="","",IF(F79&gt;=40,"Pass","Fail"))</x:f>
        <x:v>Pass</x:v>
      </x:c>
      <x:c r="I79" t="str">
        <x:f>VLOOKUP(A79,Students!$A$2:$F$31,5,FALSE)</x:f>
        <x:v>12A</x:v>
      </x:c>
      <x:c r="J79" t="n">
        <x:f>SUMIFS(Targets!$C$2:$C$16,Targets!$A$2:$A$16,I79,Targets!$B$2:$B$16,B79)</x:f>
        <x:v>60</x:v>
      </x:c>
      <x:c r="K79" t="str">
        <x:f>IF(F79&gt;=J79,"Yes","No")</x:f>
        <x:v>Yes</x:v>
      </x:c>
    </x:row>
    <x:row r="80">
      <x:c r="A80" t="str">
        <x:v>S008</x:v>
      </x:c>
      <x:c r="B80" t="str">
        <x:v>English</x:v>
      </x:c>
      <x:c r="C80" t="str">
        <x:v>E102</x:v>
      </x:c>
      <x:c r="D80" t="str">
        <x:v>Final</x:v>
      </x:c>
      <x:c r="E80" t="str">
        <x:v>Term 2</x:v>
      </x:c>
      <x:c r="F80" s="34" t="n">
        <x:v>87.3</x:v>
      </x:c>
      <x:c r="G80" s="34" t="n">
        <x:v>100</x:v>
      </x:c>
      <x:c r="H80" t="str">
        <x:f>IF(F80="","",IF(F80&gt;=40,"Pass","Fail"))</x:f>
        <x:v>Pass</x:v>
      </x:c>
      <x:c r="I80" t="str">
        <x:f>VLOOKUP(A80,Students!$A$2:$F$31,5,FALSE)</x:f>
        <x:v>12A</x:v>
      </x:c>
      <x:c r="J80" t="n">
        <x:f>SUMIFS(Targets!$C$2:$C$16,Targets!$A$2:$A$16,I80,Targets!$B$2:$B$16,B80)</x:f>
        <x:v>60</x:v>
      </x:c>
      <x:c r="K80" t="str">
        <x:f>IF(F80&gt;=J80,"Yes","No")</x:f>
        <x:v>Yes</x:v>
      </x:c>
    </x:row>
    <x:row r="81">
      <x:c r="A81" t="str">
        <x:v>S008</x:v>
      </x:c>
      <x:c r="B81" t="str">
        <x:v>Computer Science</x:v>
      </x:c>
      <x:c r="C81" t="str">
        <x:v>E102</x:v>
      </x:c>
      <x:c r="D81" t="str">
        <x:v>Final</x:v>
      </x:c>
      <x:c r="E81" t="str">
        <x:v>Term 2</x:v>
      </x:c>
      <x:c r="F81" s="34" t="n">
        <x:v>88</x:v>
      </x:c>
      <x:c r="G81" s="34" t="n">
        <x:v>100</x:v>
      </x:c>
      <x:c r="H81" t="str">
        <x:f>IF(F81="","",IF(F81&gt;=40,"Pass","Fail"))</x:f>
        <x:v>Pass</x:v>
      </x:c>
      <x:c r="I81" t="str">
        <x:f>VLOOKUP(A81,Students!$A$2:$F$31,5,FALSE)</x:f>
        <x:v>12A</x:v>
      </x:c>
      <x:c r="J81" t="n">
        <x:f>SUMIFS(Targets!$C$2:$C$16,Targets!$A$2:$A$16,I81,Targets!$B$2:$B$16,B81)</x:f>
        <x:v>80</x:v>
      </x:c>
      <x:c r="K81" t="str">
        <x:f>IF(F81&gt;=J81,"Yes","No")</x:f>
        <x:v>Yes</x:v>
      </x:c>
    </x:row>
    <x:row r="82">
      <x:c r="A82" t="str">
        <x:v>S009</x:v>
      </x:c>
      <x:c r="B82" t="str">
        <x:v>Maths</x:v>
      </x:c>
      <x:c r="C82" t="str">
        <x:v>E101</x:v>
      </x:c>
      <x:c r="D82" t="str">
        <x:v>Midterm</x:v>
      </x:c>
      <x:c r="E82" t="str">
        <x:v>Term 1</x:v>
      </x:c>
      <x:c r="F82" s="34" t="n">
        <x:v>75.5</x:v>
      </x:c>
      <x:c r="G82" s="34" t="n">
        <x:v>100</x:v>
      </x:c>
      <x:c r="H82" t="str">
        <x:f>IF(F82="","",IF(F82&gt;=40,"Pass","Fail"))</x:f>
        <x:v>Pass</x:v>
      </x:c>
      <x:c r="I82" t="str">
        <x:f>VLOOKUP(A82,Students!$A$2:$F$31,5,FALSE)</x:f>
        <x:v>12C</x:v>
      </x:c>
      <x:c r="J82" t="n">
        <x:f>SUMIFS(Targets!$C$2:$C$16,Targets!$A$2:$A$16,I82,Targets!$B$2:$B$16,B82)</x:f>
        <x:v>70</x:v>
      </x:c>
      <x:c r="K82" t="str">
        <x:f>IF(F82&gt;=J82,"Yes","No")</x:f>
        <x:v>Yes</x:v>
      </x:c>
    </x:row>
    <x:row r="83">
      <x:c r="A83" t="str">
        <x:v>S009</x:v>
      </x:c>
      <x:c r="B83" t="str">
        <x:v>Physics</x:v>
      </x:c>
      <x:c r="C83" t="str">
        <x:v>E101</x:v>
      </x:c>
      <x:c r="D83" t="str">
        <x:v>Midterm</x:v>
      </x:c>
      <x:c r="E83" t="str">
        <x:v>Term 1</x:v>
      </x:c>
      <x:c r="F83" s="34" t="n">
        <x:v>69.4</x:v>
      </x:c>
      <x:c r="G83" s="34" t="n">
        <x:v>100</x:v>
      </x:c>
      <x:c r="H83" t="str">
        <x:f>IF(F83="","",IF(F83&gt;=40,"Pass","Fail"))</x:f>
        <x:v>Pass</x:v>
      </x:c>
      <x:c r="I83" t="str">
        <x:f>VLOOKUP(A83,Students!$A$2:$F$31,5,FALSE)</x:f>
        <x:v>12C</x:v>
      </x:c>
      <x:c r="J83" t="n">
        <x:f>SUMIFS(Targets!$C$2:$C$16,Targets!$A$2:$A$16,I83,Targets!$B$2:$B$16,B83)</x:f>
        <x:v>80</x:v>
      </x:c>
      <x:c r="K83" t="str">
        <x:f>IF(F83&gt;=J83,"Yes","No")</x:f>
        <x:v>No</x:v>
      </x:c>
    </x:row>
    <x:row r="84">
      <x:c r="A84" t="str">
        <x:v>S009</x:v>
      </x:c>
      <x:c r="B84" t="str">
        <x:v>Chemistry</x:v>
      </x:c>
      <x:c r="C84" t="str">
        <x:v>E101</x:v>
      </x:c>
      <x:c r="D84" t="str">
        <x:v>Midterm</x:v>
      </x:c>
      <x:c r="E84" t="str">
        <x:v>Term 1</x:v>
      </x:c>
      <x:c r="F84" s="34" t="n">
        <x:v>59.1</x:v>
      </x:c>
      <x:c r="G84" s="34" t="n">
        <x:v>100</x:v>
      </x:c>
      <x:c r="H84" t="str">
        <x:f>IF(F84="","",IF(F84&gt;=40,"Pass","Fail"))</x:f>
        <x:v>Pass</x:v>
      </x:c>
      <x:c r="I84" t="str">
        <x:f>VLOOKUP(A84,Students!$A$2:$F$31,5,FALSE)</x:f>
        <x:v>12C</x:v>
      </x:c>
      <x:c r="J84" t="n">
        <x:f>SUMIFS(Targets!$C$2:$C$16,Targets!$A$2:$A$16,I84,Targets!$B$2:$B$16,B84)</x:f>
        <x:v>65</x:v>
      </x:c>
      <x:c r="K84" t="str">
        <x:f>IF(F84&gt;=J84,"Yes","No")</x:f>
        <x:v>No</x:v>
      </x:c>
    </x:row>
    <x:row r="85">
      <x:c r="A85" t="str">
        <x:v>S009</x:v>
      </x:c>
      <x:c r="B85" t="str">
        <x:v>English</x:v>
      </x:c>
      <x:c r="C85" t="str">
        <x:v>E101</x:v>
      </x:c>
      <x:c r="D85" t="str">
        <x:v>Midterm</x:v>
      </x:c>
      <x:c r="E85" t="str">
        <x:v>Term 1</x:v>
      </x:c>
      <x:c r="F85" s="34" t="n">
        <x:v>84</x:v>
      </x:c>
      <x:c r="G85" s="34" t="n">
        <x:v>100</x:v>
      </x:c>
      <x:c r="H85" t="str">
        <x:f>IF(F85="","",IF(F85&gt;=40,"Pass","Fail"))</x:f>
        <x:v>Pass</x:v>
      </x:c>
      <x:c r="I85" t="str">
        <x:f>VLOOKUP(A85,Students!$A$2:$F$31,5,FALSE)</x:f>
        <x:v>12C</x:v>
      </x:c>
      <x:c r="J85" t="n">
        <x:f>SUMIFS(Targets!$C$2:$C$16,Targets!$A$2:$A$16,I85,Targets!$B$2:$B$16,B85)</x:f>
        <x:v>70</x:v>
      </x:c>
      <x:c r="K85" t="str">
        <x:f>IF(F85&gt;=J85,"Yes","No")</x:f>
        <x:v>Yes</x:v>
      </x:c>
    </x:row>
    <x:row r="86">
      <x:c r="A86" t="str">
        <x:v>S009</x:v>
      </x:c>
      <x:c r="B86" t="str">
        <x:v>Computer Science</x:v>
      </x:c>
      <x:c r="C86" t="str">
        <x:v>E101</x:v>
      </x:c>
      <x:c r="D86" t="str">
        <x:v>Midterm</x:v>
      </x:c>
      <x:c r="E86" t="str">
        <x:v>Term 1</x:v>
      </x:c>
      <x:c r="F86" s="34" t="n">
        <x:v>78.4</x:v>
      </x:c>
      <x:c r="G86" s="34" t="n">
        <x:v>100</x:v>
      </x:c>
      <x:c r="H86" t="str">
        <x:f>IF(F86="","",IF(F86&gt;=40,"Pass","Fail"))</x:f>
        <x:v>Pass</x:v>
      </x:c>
      <x:c r="I86" t="str">
        <x:f>VLOOKUP(A86,Students!$A$2:$F$31,5,FALSE)</x:f>
        <x:v>12C</x:v>
      </x:c>
      <x:c r="J86" t="n">
        <x:f>SUMIFS(Targets!$C$2:$C$16,Targets!$A$2:$A$16,I86,Targets!$B$2:$B$16,B86)</x:f>
        <x:v>80</x:v>
      </x:c>
      <x:c r="K86" t="str">
        <x:f>IF(F86&gt;=J86,"Yes","No")</x:f>
        <x:v>No</x:v>
      </x:c>
    </x:row>
    <x:row r="87">
      <x:c r="A87" t="str">
        <x:v>S009</x:v>
      </x:c>
      <x:c r="B87" t="str">
        <x:v>Maths</x:v>
      </x:c>
      <x:c r="C87" t="str">
        <x:v>E102</x:v>
      </x:c>
      <x:c r="D87" t="str">
        <x:v>Final</x:v>
      </x:c>
      <x:c r="E87" t="str">
        <x:v>Term 2</x:v>
      </x:c>
      <x:c r="F87" s="34" t="n">
        <x:v>59.1</x:v>
      </x:c>
      <x:c r="G87" s="34" t="n">
        <x:v>100</x:v>
      </x:c>
      <x:c r="H87" t="str">
        <x:f>IF(F87="","",IF(F87&gt;=40,"Pass","Fail"))</x:f>
        <x:v>Pass</x:v>
      </x:c>
      <x:c r="I87" t="str">
        <x:f>VLOOKUP(A87,Students!$A$2:$F$31,5,FALSE)</x:f>
        <x:v>12C</x:v>
      </x:c>
      <x:c r="J87" t="n">
        <x:f>SUMIFS(Targets!$C$2:$C$16,Targets!$A$2:$A$16,I87,Targets!$B$2:$B$16,B87)</x:f>
        <x:v>70</x:v>
      </x:c>
      <x:c r="K87" t="str">
        <x:f>IF(F87&gt;=J87,"Yes","No")</x:f>
        <x:v>No</x:v>
      </x:c>
    </x:row>
    <x:row r="88">
      <x:c r="A88" t="str">
        <x:v>S009</x:v>
      </x:c>
      <x:c r="B88" t="str">
        <x:v>Physics</x:v>
      </x:c>
      <x:c r="C88" t="str">
        <x:v>E102</x:v>
      </x:c>
      <x:c r="D88" t="str">
        <x:v>Final</x:v>
      </x:c>
      <x:c r="E88" t="str">
        <x:v>Term 2</x:v>
      </x:c>
      <x:c r="F88" s="34" t="n">
        <x:v>62.3</x:v>
      </x:c>
      <x:c r="G88" s="34" t="n">
        <x:v>100</x:v>
      </x:c>
      <x:c r="H88" t="str">
        <x:f>IF(F88="","",IF(F88&gt;=40,"Pass","Fail"))</x:f>
        <x:v>Pass</x:v>
      </x:c>
      <x:c r="I88" t="str">
        <x:f>VLOOKUP(A88,Students!$A$2:$F$31,5,FALSE)</x:f>
        <x:v>12C</x:v>
      </x:c>
      <x:c r="J88" t="n">
        <x:f>SUMIFS(Targets!$C$2:$C$16,Targets!$A$2:$A$16,I88,Targets!$B$2:$B$16,B88)</x:f>
        <x:v>80</x:v>
      </x:c>
      <x:c r="K88" t="str">
        <x:f>IF(F88&gt;=J88,"Yes","No")</x:f>
        <x:v>No</x:v>
      </x:c>
    </x:row>
    <x:row r="89">
      <x:c r="A89" t="str">
        <x:v>S009</x:v>
      </x:c>
      <x:c r="B89" t="str">
        <x:v>Chemistry</x:v>
      </x:c>
      <x:c r="C89" t="str">
        <x:v>E102</x:v>
      </x:c>
      <x:c r="D89" t="str">
        <x:v>Final</x:v>
      </x:c>
      <x:c r="E89" t="str">
        <x:v>Term 2</x:v>
      </x:c>
      <x:c r="F89" s="34" t="n">
        <x:v>80</x:v>
      </x:c>
      <x:c r="G89" s="34" t="n">
        <x:v>100</x:v>
      </x:c>
      <x:c r="H89" t="str">
        <x:f>IF(F89="","",IF(F89&gt;=40,"Pass","Fail"))</x:f>
        <x:v>Pass</x:v>
      </x:c>
      <x:c r="I89" t="str">
        <x:f>VLOOKUP(A89,Students!$A$2:$F$31,5,FALSE)</x:f>
        <x:v>12C</x:v>
      </x:c>
      <x:c r="J89" t="n">
        <x:f>SUMIFS(Targets!$C$2:$C$16,Targets!$A$2:$A$16,I89,Targets!$B$2:$B$16,B89)</x:f>
        <x:v>65</x:v>
      </x:c>
      <x:c r="K89" t="str">
        <x:f>IF(F89&gt;=J89,"Yes","No")</x:f>
        <x:v>Yes</x:v>
      </x:c>
    </x:row>
    <x:row r="90">
      <x:c r="A90" t="str">
        <x:v>S009</x:v>
      </x:c>
      <x:c r="B90" t="str">
        <x:v>English</x:v>
      </x:c>
      <x:c r="C90" t="str">
        <x:v>E102</x:v>
      </x:c>
      <x:c r="D90" t="str">
        <x:v>Final</x:v>
      </x:c>
      <x:c r="E90" t="str">
        <x:v>Term 2</x:v>
      </x:c>
      <x:c r="F90" s="34" t="n">
        <x:v>82.2</x:v>
      </x:c>
      <x:c r="G90" s="34" t="n">
        <x:v>100</x:v>
      </x:c>
      <x:c r="H90" t="str">
        <x:f>IF(F90="","",IF(F90&gt;=40,"Pass","Fail"))</x:f>
        <x:v>Pass</x:v>
      </x:c>
      <x:c r="I90" t="str">
        <x:f>VLOOKUP(A90,Students!$A$2:$F$31,5,FALSE)</x:f>
        <x:v>12C</x:v>
      </x:c>
      <x:c r="J90" t="n">
        <x:f>SUMIFS(Targets!$C$2:$C$16,Targets!$A$2:$A$16,I90,Targets!$B$2:$B$16,B90)</x:f>
        <x:v>70</x:v>
      </x:c>
      <x:c r="K90" t="str">
        <x:f>IF(F90&gt;=J90,"Yes","No")</x:f>
        <x:v>Yes</x:v>
      </x:c>
    </x:row>
    <x:row r="91">
      <x:c r="A91" t="str">
        <x:v>S009</x:v>
      </x:c>
      <x:c r="B91" t="str">
        <x:v>Computer Science</x:v>
      </x:c>
      <x:c r="C91" t="str">
        <x:v>E102</x:v>
      </x:c>
      <x:c r="D91" t="str">
        <x:v>Final</x:v>
      </x:c>
      <x:c r="E91" t="str">
        <x:v>Term 2</x:v>
      </x:c>
      <x:c r="F91" s="34" t="n">
        <x:v>66.9</x:v>
      </x:c>
      <x:c r="G91" s="34" t="n">
        <x:v>100</x:v>
      </x:c>
      <x:c r="H91" t="str">
        <x:f>IF(F91="","",IF(F91&gt;=40,"Pass","Fail"))</x:f>
        <x:v>Pass</x:v>
      </x:c>
      <x:c r="I91" t="str">
        <x:f>VLOOKUP(A91,Students!$A$2:$F$31,5,FALSE)</x:f>
        <x:v>12C</x:v>
      </x:c>
      <x:c r="J91" t="n">
        <x:f>SUMIFS(Targets!$C$2:$C$16,Targets!$A$2:$A$16,I91,Targets!$B$2:$B$16,B91)</x:f>
        <x:v>80</x:v>
      </x:c>
      <x:c r="K91" t="str">
        <x:f>IF(F91&gt;=J91,"Yes","No")</x:f>
        <x:v>No</x:v>
      </x:c>
    </x:row>
    <x:row r="92">
      <x:c r="A92" t="str">
        <x:v>S010</x:v>
      </x:c>
      <x:c r="B92" t="str">
        <x:v>Maths</x:v>
      </x:c>
      <x:c r="C92" t="str">
        <x:v>E101</x:v>
      </x:c>
      <x:c r="D92" t="str">
        <x:v>Midterm</x:v>
      </x:c>
      <x:c r="E92" t="str">
        <x:v>Term 1</x:v>
      </x:c>
      <x:c r="F92" s="34" t="n">
        <x:v>62.4</x:v>
      </x:c>
      <x:c r="G92" s="34" t="n">
        <x:v>100</x:v>
      </x:c>
      <x:c r="H92" t="str">
        <x:f>IF(F92="","",IF(F92&gt;=40,"Pass","Fail"))</x:f>
        <x:v>Pass</x:v>
      </x:c>
      <x:c r="I92" t="str">
        <x:f>VLOOKUP(A92,Students!$A$2:$F$31,5,FALSE)</x:f>
        <x:v>12C</x:v>
      </x:c>
      <x:c r="J92" t="n">
        <x:f>SUMIFS(Targets!$C$2:$C$16,Targets!$A$2:$A$16,I92,Targets!$B$2:$B$16,B92)</x:f>
        <x:v>70</x:v>
      </x:c>
      <x:c r="K92" t="str">
        <x:f>IF(F92&gt;=J92,"Yes","No")</x:f>
        <x:v>No</x:v>
      </x:c>
    </x:row>
    <x:row r="93">
      <x:c r="A93" t="str">
        <x:v>S010</x:v>
      </x:c>
      <x:c r="B93" t="str">
        <x:v>Physics</x:v>
      </x:c>
      <x:c r="C93" t="str">
        <x:v>E101</x:v>
      </x:c>
      <x:c r="D93" t="str">
        <x:v>Midterm</x:v>
      </x:c>
      <x:c r="E93" t="str">
        <x:v>Term 1</x:v>
      </x:c>
      <x:c r="F93" s="34" t="n">
        <x:v>69</x:v>
      </x:c>
      <x:c r="G93" s="34" t="n">
        <x:v>100</x:v>
      </x:c>
      <x:c r="H93" t="str">
        <x:f>IF(F93="","",IF(F93&gt;=40,"Pass","Fail"))</x:f>
        <x:v>Pass</x:v>
      </x:c>
      <x:c r="I93" t="str">
        <x:f>VLOOKUP(A93,Students!$A$2:$F$31,5,FALSE)</x:f>
        <x:v>12C</x:v>
      </x:c>
      <x:c r="J93" t="n">
        <x:f>SUMIFS(Targets!$C$2:$C$16,Targets!$A$2:$A$16,I93,Targets!$B$2:$B$16,B93)</x:f>
        <x:v>80</x:v>
      </x:c>
      <x:c r="K93" t="str">
        <x:f>IF(F93&gt;=J93,"Yes","No")</x:f>
        <x:v>No</x:v>
      </x:c>
    </x:row>
    <x:row r="94">
      <x:c r="A94" t="str">
        <x:v>S010</x:v>
      </x:c>
      <x:c r="B94" t="str">
        <x:v>Chemistry</x:v>
      </x:c>
      <x:c r="C94" t="str">
        <x:v>E101</x:v>
      </x:c>
      <x:c r="D94" t="str">
        <x:v>Midterm</x:v>
      </x:c>
      <x:c r="E94" t="str">
        <x:v>Term 1</x:v>
      </x:c>
      <x:c r="F94" s="34" t="n">
        <x:v>77.3</x:v>
      </x:c>
      <x:c r="G94" s="34" t="n">
        <x:v>100</x:v>
      </x:c>
      <x:c r="H94" t="str">
        <x:f>IF(F94="","",IF(F94&gt;=40,"Pass","Fail"))</x:f>
        <x:v>Pass</x:v>
      </x:c>
      <x:c r="I94" t="str">
        <x:f>VLOOKUP(A94,Students!$A$2:$F$31,5,FALSE)</x:f>
        <x:v>12C</x:v>
      </x:c>
      <x:c r="J94" t="n">
        <x:f>SUMIFS(Targets!$C$2:$C$16,Targets!$A$2:$A$16,I94,Targets!$B$2:$B$16,B94)</x:f>
        <x:v>65</x:v>
      </x:c>
      <x:c r="K94" t="str">
        <x:f>IF(F94&gt;=J94,"Yes","No")</x:f>
        <x:v>Yes</x:v>
      </x:c>
    </x:row>
    <x:row r="95">
      <x:c r="A95" t="str">
        <x:v>S010</x:v>
      </x:c>
      <x:c r="B95" t="str">
        <x:v>English</x:v>
      </x:c>
      <x:c r="C95" t="str">
        <x:v>E101</x:v>
      </x:c>
      <x:c r="D95" t="str">
        <x:v>Midterm</x:v>
      </x:c>
      <x:c r="E95" t="str">
        <x:v>Term 1</x:v>
      </x:c>
      <x:c r="F95" s="34" t="n">
        <x:v>70.5</x:v>
      </x:c>
      <x:c r="G95" s="34" t="n">
        <x:v>100</x:v>
      </x:c>
      <x:c r="H95" t="str">
        <x:f>IF(F95="","",IF(F95&gt;=40,"Pass","Fail"))</x:f>
        <x:v>Pass</x:v>
      </x:c>
      <x:c r="I95" t="str">
        <x:f>VLOOKUP(A95,Students!$A$2:$F$31,5,FALSE)</x:f>
        <x:v>12C</x:v>
      </x:c>
      <x:c r="J95" t="n">
        <x:f>SUMIFS(Targets!$C$2:$C$16,Targets!$A$2:$A$16,I95,Targets!$B$2:$B$16,B95)</x:f>
        <x:v>70</x:v>
      </x:c>
      <x:c r="K95" t="str">
        <x:f>IF(F95&gt;=J95,"Yes","No")</x:f>
        <x:v>Yes</x:v>
      </x:c>
    </x:row>
    <x:row r="96">
      <x:c r="A96" t="str">
        <x:v>S010</x:v>
      </x:c>
      <x:c r="B96" t="str">
        <x:v>Computer Science</x:v>
      </x:c>
      <x:c r="C96" t="str">
        <x:v>E101</x:v>
      </x:c>
      <x:c r="D96" t="str">
        <x:v>Midterm</x:v>
      </x:c>
      <x:c r="E96" t="str">
        <x:v>Term 1</x:v>
      </x:c>
      <x:c r="F96" s="34" t="n">
        <x:v>79.5</x:v>
      </x:c>
      <x:c r="G96" s="34" t="n">
        <x:v>100</x:v>
      </x:c>
      <x:c r="H96" t="str">
        <x:f>IF(F96="","",IF(F96&gt;=40,"Pass","Fail"))</x:f>
        <x:v>Pass</x:v>
      </x:c>
      <x:c r="I96" t="str">
        <x:f>VLOOKUP(A96,Students!$A$2:$F$31,5,FALSE)</x:f>
        <x:v>12C</x:v>
      </x:c>
      <x:c r="J96" t="n">
        <x:f>SUMIFS(Targets!$C$2:$C$16,Targets!$A$2:$A$16,I96,Targets!$B$2:$B$16,B96)</x:f>
        <x:v>80</x:v>
      </x:c>
      <x:c r="K96" t="str">
        <x:f>IF(F96&gt;=J96,"Yes","No")</x:f>
        <x:v>No</x:v>
      </x:c>
    </x:row>
    <x:row r="97">
      <x:c r="A97" t="str">
        <x:v>S010</x:v>
      </x:c>
      <x:c r="B97" t="str">
        <x:v>Maths</x:v>
      </x:c>
      <x:c r="C97" t="str">
        <x:v>E102</x:v>
      </x:c>
      <x:c r="D97" t="str">
        <x:v>Final</x:v>
      </x:c>
      <x:c r="E97" t="str">
        <x:v>Term 2</x:v>
      </x:c>
      <x:c r="F97" s="34" t="n">
        <x:v>72.6</x:v>
      </x:c>
      <x:c r="G97" s="34" t="n">
        <x:v>100</x:v>
      </x:c>
      <x:c r="H97" t="str">
        <x:f>IF(F97="","",IF(F97&gt;=40,"Pass","Fail"))</x:f>
        <x:v>Pass</x:v>
      </x:c>
      <x:c r="I97" t="str">
        <x:f>VLOOKUP(A97,Students!$A$2:$F$31,5,FALSE)</x:f>
        <x:v>12C</x:v>
      </x:c>
      <x:c r="J97" t="n">
        <x:f>SUMIFS(Targets!$C$2:$C$16,Targets!$A$2:$A$16,I97,Targets!$B$2:$B$16,B97)</x:f>
        <x:v>70</x:v>
      </x:c>
      <x:c r="K97" t="str">
        <x:f>IF(F97&gt;=J97,"Yes","No")</x:f>
        <x:v>Yes</x:v>
      </x:c>
    </x:row>
    <x:row r="98">
      <x:c r="A98" t="str">
        <x:v>S010</x:v>
      </x:c>
      <x:c r="B98" t="str">
        <x:v>Physics</x:v>
      </x:c>
      <x:c r="C98" t="str">
        <x:v>E102</x:v>
      </x:c>
      <x:c r="D98" t="str">
        <x:v>Final</x:v>
      </x:c>
      <x:c r="E98" t="str">
        <x:v>Term 2</x:v>
      </x:c>
      <x:c r="F98" s="34" t="n">
        <x:v>64.9</x:v>
      </x:c>
      <x:c r="G98" s="34" t="n">
        <x:v>100</x:v>
      </x:c>
      <x:c r="H98" t="str">
        <x:f>IF(F98="","",IF(F98&gt;=40,"Pass","Fail"))</x:f>
        <x:v>Pass</x:v>
      </x:c>
      <x:c r="I98" t="str">
        <x:f>VLOOKUP(A98,Students!$A$2:$F$31,5,FALSE)</x:f>
        <x:v>12C</x:v>
      </x:c>
      <x:c r="J98" t="n">
        <x:f>SUMIFS(Targets!$C$2:$C$16,Targets!$A$2:$A$16,I98,Targets!$B$2:$B$16,B98)</x:f>
        <x:v>80</x:v>
      </x:c>
      <x:c r="K98" t="str">
        <x:f>IF(F98&gt;=J98,"Yes","No")</x:f>
        <x:v>No</x:v>
      </x:c>
    </x:row>
    <x:row r="99">
      <x:c r="A99" t="str">
        <x:v>S010</x:v>
      </x:c>
      <x:c r="B99" t="str">
        <x:v>Chemistry</x:v>
      </x:c>
      <x:c r="C99" t="str">
        <x:v>E102</x:v>
      </x:c>
      <x:c r="D99" t="str">
        <x:v>Final</x:v>
      </x:c>
      <x:c r="E99" t="str">
        <x:v>Term 2</x:v>
      </x:c>
      <x:c r="F99" s="34" t="n">
        <x:v>50.4</x:v>
      </x:c>
      <x:c r="G99" s="34" t="n">
        <x:v>100</x:v>
      </x:c>
      <x:c r="H99" t="str">
        <x:f>IF(F99="","",IF(F99&gt;=40,"Pass","Fail"))</x:f>
        <x:v>Pass</x:v>
      </x:c>
      <x:c r="I99" t="str">
        <x:f>VLOOKUP(A99,Students!$A$2:$F$31,5,FALSE)</x:f>
        <x:v>12C</x:v>
      </x:c>
      <x:c r="J99" t="n">
        <x:f>SUMIFS(Targets!$C$2:$C$16,Targets!$A$2:$A$16,I99,Targets!$B$2:$B$16,B99)</x:f>
        <x:v>65</x:v>
      </x:c>
      <x:c r="K99" t="str">
        <x:f>IF(F99&gt;=J99,"Yes","No")</x:f>
        <x:v>No</x:v>
      </x:c>
    </x:row>
    <x:row r="100">
      <x:c r="A100" t="str">
        <x:v>S010</x:v>
      </x:c>
      <x:c r="B100" t="str">
        <x:v>English</x:v>
      </x:c>
      <x:c r="C100" t="str">
        <x:v>E102</x:v>
      </x:c>
      <x:c r="D100" t="str">
        <x:v>Final</x:v>
      </x:c>
      <x:c r="E100" t="str">
        <x:v>Term 2</x:v>
      </x:c>
      <x:c r="F100" s="34" t="n">
        <x:v>59.6</x:v>
      </x:c>
      <x:c r="G100" s="34" t="n">
        <x:v>100</x:v>
      </x:c>
      <x:c r="H100" t="str">
        <x:f>IF(F100="","",IF(F100&gt;=40,"Pass","Fail"))</x:f>
        <x:v>Pass</x:v>
      </x:c>
      <x:c r="I100" t="str">
        <x:f>VLOOKUP(A100,Students!$A$2:$F$31,5,FALSE)</x:f>
        <x:v>12C</x:v>
      </x:c>
      <x:c r="J100" t="n">
        <x:f>SUMIFS(Targets!$C$2:$C$16,Targets!$A$2:$A$16,I100,Targets!$B$2:$B$16,B100)</x:f>
        <x:v>70</x:v>
      </x:c>
      <x:c r="K100" t="str">
        <x:f>IF(F100&gt;=J100,"Yes","No")</x:f>
        <x:v>No</x:v>
      </x:c>
    </x:row>
    <x:row r="101">
      <x:c r="A101" t="str">
        <x:v>S010</x:v>
      </x:c>
      <x:c r="B101" t="str">
        <x:v>Computer Science</x:v>
      </x:c>
      <x:c r="C101" t="str">
        <x:v>E102</x:v>
      </x:c>
      <x:c r="D101" t="str">
        <x:v>Final</x:v>
      </x:c>
      <x:c r="E101" t="str">
        <x:v>Term 2</x:v>
      </x:c>
      <x:c r="F101" s="34" t="n">
        <x:v>75.3</x:v>
      </x:c>
      <x:c r="G101" s="34" t="n">
        <x:v>100</x:v>
      </x:c>
      <x:c r="H101" t="str">
        <x:f>IF(F101="","",IF(F101&gt;=40,"Pass","Fail"))</x:f>
        <x:v>Pass</x:v>
      </x:c>
      <x:c r="I101" t="str">
        <x:f>VLOOKUP(A101,Students!$A$2:$F$31,5,FALSE)</x:f>
        <x:v>12C</x:v>
      </x:c>
      <x:c r="J101" t="n">
        <x:f>SUMIFS(Targets!$C$2:$C$16,Targets!$A$2:$A$16,I101,Targets!$B$2:$B$16,B101)</x:f>
        <x:v>80</x:v>
      </x:c>
      <x:c r="K101" t="str">
        <x:f>IF(F101&gt;=J101,"Yes","No")</x:f>
        <x:v>No</x:v>
      </x:c>
    </x:row>
    <x:row r="102">
      <x:c r="A102" t="str">
        <x:v>S011</x:v>
      </x:c>
      <x:c r="B102" t="str">
        <x:v>Maths</x:v>
      </x:c>
      <x:c r="C102" t="str">
        <x:v>E101</x:v>
      </x:c>
      <x:c r="D102" t="str">
        <x:v>Midterm</x:v>
      </x:c>
      <x:c r="E102" t="str">
        <x:v>Term 1</x:v>
      </x:c>
      <x:c r="F102" s="34" t="n">
        <x:v>53.5</x:v>
      </x:c>
      <x:c r="G102" s="34" t="n">
        <x:v>100</x:v>
      </x:c>
      <x:c r="H102" t="str">
        <x:f>IF(F102="","",IF(F102&gt;=40,"Pass","Fail"))</x:f>
        <x:v>Pass</x:v>
      </x:c>
      <x:c r="I102" t="str">
        <x:f>VLOOKUP(A102,Students!$A$2:$F$31,5,FALSE)</x:f>
        <x:v>12A</x:v>
      </x:c>
      <x:c r="J102" t="n">
        <x:f>SUMIFS(Targets!$C$2:$C$16,Targets!$A$2:$A$16,I102,Targets!$B$2:$B$16,B102)</x:f>
        <x:v>70</x:v>
      </x:c>
      <x:c r="K102" t="str">
        <x:f>IF(F102&gt;=J102,"Yes","No")</x:f>
        <x:v>No</x:v>
      </x:c>
    </x:row>
    <x:row r="103">
      <x:c r="A103" t="str">
        <x:v>S011</x:v>
      </x:c>
      <x:c r="B103" t="str">
        <x:v>Physics</x:v>
      </x:c>
      <x:c r="C103" t="str">
        <x:v>E101</x:v>
      </x:c>
      <x:c r="D103" t="str">
        <x:v>Midterm</x:v>
      </x:c>
      <x:c r="E103" t="str">
        <x:v>Term 1</x:v>
      </x:c>
      <x:c r="F103" s="34" t="n">
        <x:v>61.3</x:v>
      </x:c>
      <x:c r="G103" s="34" t="n">
        <x:v>100</x:v>
      </x:c>
      <x:c r="H103" t="str">
        <x:f>IF(F103="","",IF(F103&gt;=40,"Pass","Fail"))</x:f>
        <x:v>Pass</x:v>
      </x:c>
      <x:c r="I103" t="str">
        <x:f>VLOOKUP(A103,Students!$A$2:$F$31,5,FALSE)</x:f>
        <x:v>12A</x:v>
      </x:c>
      <x:c r="J103" t="n">
        <x:f>SUMIFS(Targets!$C$2:$C$16,Targets!$A$2:$A$16,I103,Targets!$B$2:$B$16,B103)</x:f>
        <x:v>60</x:v>
      </x:c>
      <x:c r="K103" t="str">
        <x:f>IF(F103&gt;=J103,"Yes","No")</x:f>
        <x:v>Yes</x:v>
      </x:c>
    </x:row>
    <x:row r="104">
      <x:c r="A104" t="str">
        <x:v>S011</x:v>
      </x:c>
      <x:c r="B104" t="str">
        <x:v>Chemistry</x:v>
      </x:c>
      <x:c r="C104" t="str">
        <x:v>E101</x:v>
      </x:c>
      <x:c r="D104" t="str">
        <x:v>Midterm</x:v>
      </x:c>
      <x:c r="E104" t="str">
        <x:v>Term 1</x:v>
      </x:c>
      <x:c r="F104" s="34" t="n">
        <x:v>54.8</x:v>
      </x:c>
      <x:c r="G104" s="34" t="n">
        <x:v>100</x:v>
      </x:c>
      <x:c r="H104" t="str">
        <x:f>IF(F104="","",IF(F104&gt;=40,"Pass","Fail"))</x:f>
        <x:v>Pass</x:v>
      </x:c>
      <x:c r="I104" t="str">
        <x:f>VLOOKUP(A104,Students!$A$2:$F$31,5,FALSE)</x:f>
        <x:v>12A</x:v>
      </x:c>
      <x:c r="J104" t="n">
        <x:f>SUMIFS(Targets!$C$2:$C$16,Targets!$A$2:$A$16,I104,Targets!$B$2:$B$16,B104)</x:f>
        <x:v>60</x:v>
      </x:c>
      <x:c r="K104" t="str">
        <x:f>IF(F104&gt;=J104,"Yes","No")</x:f>
        <x:v>No</x:v>
      </x:c>
    </x:row>
    <x:row r="105">
      <x:c r="A105" t="str">
        <x:v>S011</x:v>
      </x:c>
      <x:c r="B105" t="str">
        <x:v>English</x:v>
      </x:c>
      <x:c r="C105" t="str">
        <x:v>E101</x:v>
      </x:c>
      <x:c r="D105" t="str">
        <x:v>Midterm</x:v>
      </x:c>
      <x:c r="E105" t="str">
        <x:v>Term 1</x:v>
      </x:c>
      <x:c r="F105" s="34" t="n">
        <x:v>52.3</x:v>
      </x:c>
      <x:c r="G105" s="34" t="n">
        <x:v>100</x:v>
      </x:c>
      <x:c r="H105" t="str">
        <x:f>IF(F105="","",IF(F105&gt;=40,"Pass","Fail"))</x:f>
        <x:v>Pass</x:v>
      </x:c>
      <x:c r="I105" t="str">
        <x:f>VLOOKUP(A105,Students!$A$2:$F$31,5,FALSE)</x:f>
        <x:v>12A</x:v>
      </x:c>
      <x:c r="J105" t="n">
        <x:f>SUMIFS(Targets!$C$2:$C$16,Targets!$A$2:$A$16,I105,Targets!$B$2:$B$16,B105)</x:f>
        <x:v>60</x:v>
      </x:c>
      <x:c r="K105" t="str">
        <x:f>IF(F105&gt;=J105,"Yes","No")</x:f>
        <x:v>No</x:v>
      </x:c>
    </x:row>
    <x:row r="106">
      <x:c r="A106" t="str">
        <x:v>S011</x:v>
      </x:c>
      <x:c r="B106" t="str">
        <x:v>Computer Science</x:v>
      </x:c>
      <x:c r="C106" t="str">
        <x:v>E101</x:v>
      </x:c>
      <x:c r="D106" t="str">
        <x:v>Midterm</x:v>
      </x:c>
      <x:c r="E106" t="str">
        <x:v>Term 1</x:v>
      </x:c>
      <x:c r="F106" s="34" t="n">
        <x:v>47.8</x:v>
      </x:c>
      <x:c r="G106" s="34" t="n">
        <x:v>100</x:v>
      </x:c>
      <x:c r="H106" t="str">
        <x:f>IF(F106="","",IF(F106&gt;=40,"Pass","Fail"))</x:f>
        <x:v>Pass</x:v>
      </x:c>
      <x:c r="I106" t="str">
        <x:f>VLOOKUP(A106,Students!$A$2:$F$31,5,FALSE)</x:f>
        <x:v>12A</x:v>
      </x:c>
      <x:c r="J106" t="n">
        <x:f>SUMIFS(Targets!$C$2:$C$16,Targets!$A$2:$A$16,I106,Targets!$B$2:$B$16,B106)</x:f>
        <x:v>80</x:v>
      </x:c>
      <x:c r="K106" t="str">
        <x:f>IF(F106&gt;=J106,"Yes","No")</x:f>
        <x:v>No</x:v>
      </x:c>
    </x:row>
    <x:row r="107">
      <x:c r="A107" t="str">
        <x:v>S011</x:v>
      </x:c>
      <x:c r="B107" t="str">
        <x:v>Maths</x:v>
      </x:c>
      <x:c r="C107" t="str">
        <x:v>E102</x:v>
      </x:c>
      <x:c r="D107" t="str">
        <x:v>Final</x:v>
      </x:c>
      <x:c r="E107" t="str">
        <x:v>Term 2</x:v>
      </x:c>
      <x:c r="F107" s="34" t="n">
        <x:v>60.5</x:v>
      </x:c>
      <x:c r="G107" s="34" t="n">
        <x:v>100</x:v>
      </x:c>
      <x:c r="H107" t="str">
        <x:f>IF(F107="","",IF(F107&gt;=40,"Pass","Fail"))</x:f>
        <x:v>Pass</x:v>
      </x:c>
      <x:c r="I107" t="str">
        <x:f>VLOOKUP(A107,Students!$A$2:$F$31,5,FALSE)</x:f>
        <x:v>12A</x:v>
      </x:c>
      <x:c r="J107" t="n">
        <x:f>SUMIFS(Targets!$C$2:$C$16,Targets!$A$2:$A$16,I107,Targets!$B$2:$B$16,B107)</x:f>
        <x:v>70</x:v>
      </x:c>
      <x:c r="K107" t="str">
        <x:f>IF(F107&gt;=J107,"Yes","No")</x:f>
        <x:v>No</x:v>
      </x:c>
    </x:row>
    <x:row r="108">
      <x:c r="A108" t="str">
        <x:v>S011</x:v>
      </x:c>
      <x:c r="B108" t="str">
        <x:v>Physics</x:v>
      </x:c>
      <x:c r="C108" t="str">
        <x:v>E102</x:v>
      </x:c>
      <x:c r="D108" t="str">
        <x:v>Final</x:v>
      </x:c>
      <x:c r="E108" t="str">
        <x:v>Term 2</x:v>
      </x:c>
      <x:c r="F108" s="34" t="n">
        <x:v>56</x:v>
      </x:c>
      <x:c r="G108" s="34" t="n">
        <x:v>100</x:v>
      </x:c>
      <x:c r="H108" t="str">
        <x:f>IF(F108="","",IF(F108&gt;=40,"Pass","Fail"))</x:f>
        <x:v>Pass</x:v>
      </x:c>
      <x:c r="I108" t="str">
        <x:f>VLOOKUP(A108,Students!$A$2:$F$31,5,FALSE)</x:f>
        <x:v>12A</x:v>
      </x:c>
      <x:c r="J108" t="n">
        <x:f>SUMIFS(Targets!$C$2:$C$16,Targets!$A$2:$A$16,I108,Targets!$B$2:$B$16,B108)</x:f>
        <x:v>60</x:v>
      </x:c>
      <x:c r="K108" t="str">
        <x:f>IF(F108&gt;=J108,"Yes","No")</x:f>
        <x:v>No</x:v>
      </x:c>
    </x:row>
    <x:row r="109">
      <x:c r="A109" t="str">
        <x:v>S011</x:v>
      </x:c>
      <x:c r="B109" t="str">
        <x:v>Chemistry</x:v>
      </x:c>
      <x:c r="C109" t="str">
        <x:v>E102</x:v>
      </x:c>
      <x:c r="D109" t="str">
        <x:v>Final</x:v>
      </x:c>
      <x:c r="E109" t="str">
        <x:v>Term 2</x:v>
      </x:c>
      <x:c r="F109" s="34" t="n">
        <x:v>50.5</x:v>
      </x:c>
      <x:c r="G109" s="34" t="n">
        <x:v>100</x:v>
      </x:c>
      <x:c r="H109" t="str">
        <x:f>IF(F109="","",IF(F109&gt;=40,"Pass","Fail"))</x:f>
        <x:v>Pass</x:v>
      </x:c>
      <x:c r="I109" t="str">
        <x:f>VLOOKUP(A109,Students!$A$2:$F$31,5,FALSE)</x:f>
        <x:v>12A</x:v>
      </x:c>
      <x:c r="J109" t="n">
        <x:f>SUMIFS(Targets!$C$2:$C$16,Targets!$A$2:$A$16,I109,Targets!$B$2:$B$16,B109)</x:f>
        <x:v>60</x:v>
      </x:c>
      <x:c r="K109" t="str">
        <x:f>IF(F109&gt;=J109,"Yes","No")</x:f>
        <x:v>No</x:v>
      </x:c>
    </x:row>
    <x:row r="110">
      <x:c r="A110" t="str">
        <x:v>S011</x:v>
      </x:c>
      <x:c r="B110" t="str">
        <x:v>English</x:v>
      </x:c>
      <x:c r="C110" t="str">
        <x:v>E102</x:v>
      </x:c>
      <x:c r="D110" t="str">
        <x:v>Final</x:v>
      </x:c>
      <x:c r="E110" t="str">
        <x:v>Term 2</x:v>
      </x:c>
      <x:c r="F110" s="34" t="n">
        <x:v>69</x:v>
      </x:c>
      <x:c r="G110" s="34" t="n">
        <x:v>100</x:v>
      </x:c>
      <x:c r="H110" t="str">
        <x:f>IF(F110="","",IF(F110&gt;=40,"Pass","Fail"))</x:f>
        <x:v>Pass</x:v>
      </x:c>
      <x:c r="I110" t="str">
        <x:f>VLOOKUP(A110,Students!$A$2:$F$31,5,FALSE)</x:f>
        <x:v>12A</x:v>
      </x:c>
      <x:c r="J110" t="n">
        <x:f>SUMIFS(Targets!$C$2:$C$16,Targets!$A$2:$A$16,I110,Targets!$B$2:$B$16,B110)</x:f>
        <x:v>60</x:v>
      </x:c>
      <x:c r="K110" t="str">
        <x:f>IF(F110&gt;=J110,"Yes","No")</x:f>
        <x:v>Yes</x:v>
      </x:c>
    </x:row>
    <x:row r="111">
      <x:c r="A111" t="str">
        <x:v>S011</x:v>
      </x:c>
      <x:c r="B111" t="str">
        <x:v>Computer Science</x:v>
      </x:c>
      <x:c r="C111" t="str">
        <x:v>E102</x:v>
      </x:c>
      <x:c r="D111" t="str">
        <x:v>Final</x:v>
      </x:c>
      <x:c r="E111" t="str">
        <x:v>Term 2</x:v>
      </x:c>
      <x:c r="F111" s="34" t="n">
        <x:v>64.9</x:v>
      </x:c>
      <x:c r="G111" s="34" t="n">
        <x:v>100</x:v>
      </x:c>
      <x:c r="H111" t="str">
        <x:f>IF(F111="","",IF(F111&gt;=40,"Pass","Fail"))</x:f>
        <x:v>Pass</x:v>
      </x:c>
      <x:c r="I111" t="str">
        <x:f>VLOOKUP(A111,Students!$A$2:$F$31,5,FALSE)</x:f>
        <x:v>12A</x:v>
      </x:c>
      <x:c r="J111" t="n">
        <x:f>SUMIFS(Targets!$C$2:$C$16,Targets!$A$2:$A$16,I111,Targets!$B$2:$B$16,B111)</x:f>
        <x:v>80</x:v>
      </x:c>
      <x:c r="K111" t="str">
        <x:f>IF(F111&gt;=J111,"Yes","No")</x:f>
        <x:v>No</x:v>
      </x:c>
    </x:row>
    <x:row r="112">
      <x:c r="A112" t="str">
        <x:v>S012</x:v>
      </x:c>
      <x:c r="B112" t="str">
        <x:v>Maths</x:v>
      </x:c>
      <x:c r="C112" t="str">
        <x:v>E101</x:v>
      </x:c>
      <x:c r="D112" t="str">
        <x:v>Midterm</x:v>
      </x:c>
      <x:c r="E112" t="str">
        <x:v>Term 1</x:v>
      </x:c>
      <x:c r="F112" s="34" t="n">
        <x:v>86</x:v>
      </x:c>
      <x:c r="G112" s="34" t="n">
        <x:v>100</x:v>
      </x:c>
      <x:c r="H112" t="str">
        <x:f>IF(F112="","",IF(F112&gt;=40,"Pass","Fail"))</x:f>
        <x:v>Pass</x:v>
      </x:c>
      <x:c r="I112" t="str">
        <x:f>VLOOKUP(A112,Students!$A$2:$F$31,5,FALSE)</x:f>
        <x:v>12C</x:v>
      </x:c>
      <x:c r="J112" t="n">
        <x:f>SUMIFS(Targets!$C$2:$C$16,Targets!$A$2:$A$16,I112,Targets!$B$2:$B$16,B112)</x:f>
        <x:v>70</x:v>
      </x:c>
      <x:c r="K112" t="str">
        <x:f>IF(F112&gt;=J112,"Yes","No")</x:f>
        <x:v>Yes</x:v>
      </x:c>
    </x:row>
    <x:row r="113">
      <x:c r="A113" t="str">
        <x:v>S012</x:v>
      </x:c>
      <x:c r="B113" t="str">
        <x:v>Physics</x:v>
      </x:c>
      <x:c r="C113" t="str">
        <x:v>E101</x:v>
      </x:c>
      <x:c r="D113" t="str">
        <x:v>Midterm</x:v>
      </x:c>
      <x:c r="E113" t="str">
        <x:v>Term 1</x:v>
      </x:c>
      <x:c r="F113" s="34" t="n">
        <x:v>77.7</x:v>
      </x:c>
      <x:c r="G113" s="34" t="n">
        <x:v>100</x:v>
      </x:c>
      <x:c r="H113" t="str">
        <x:f>IF(F113="","",IF(F113&gt;=40,"Pass","Fail"))</x:f>
        <x:v>Pass</x:v>
      </x:c>
      <x:c r="I113" t="str">
        <x:f>VLOOKUP(A113,Students!$A$2:$F$31,5,FALSE)</x:f>
        <x:v>12C</x:v>
      </x:c>
      <x:c r="J113" t="n">
        <x:f>SUMIFS(Targets!$C$2:$C$16,Targets!$A$2:$A$16,I113,Targets!$B$2:$B$16,B113)</x:f>
        <x:v>80</x:v>
      </x:c>
      <x:c r="K113" t="str">
        <x:f>IF(F113&gt;=J113,"Yes","No")</x:f>
        <x:v>No</x:v>
      </x:c>
    </x:row>
    <x:row r="114">
      <x:c r="A114" t="str">
        <x:v>S012</x:v>
      </x:c>
      <x:c r="B114" t="str">
        <x:v>Chemistry</x:v>
      </x:c>
      <x:c r="C114" t="str">
        <x:v>E101</x:v>
      </x:c>
      <x:c r="D114" t="str">
        <x:v>Midterm</x:v>
      </x:c>
      <x:c r="E114" t="str">
        <x:v>Term 1</x:v>
      </x:c>
      <x:c r="F114" s="34" t="n">
        <x:v>79.9</x:v>
      </x:c>
      <x:c r="G114" s="34" t="n">
        <x:v>100</x:v>
      </x:c>
      <x:c r="H114" t="str">
        <x:f>IF(F114="","",IF(F114&gt;=40,"Pass","Fail"))</x:f>
        <x:v>Pass</x:v>
      </x:c>
      <x:c r="I114" t="str">
        <x:f>VLOOKUP(A114,Students!$A$2:$F$31,5,FALSE)</x:f>
        <x:v>12C</x:v>
      </x:c>
      <x:c r="J114" t="n">
        <x:f>SUMIFS(Targets!$C$2:$C$16,Targets!$A$2:$A$16,I114,Targets!$B$2:$B$16,B114)</x:f>
        <x:v>65</x:v>
      </x:c>
      <x:c r="K114" t="str">
        <x:f>IF(F114&gt;=J114,"Yes","No")</x:f>
        <x:v>Yes</x:v>
      </x:c>
    </x:row>
    <x:row r="115">
      <x:c r="A115" t="str">
        <x:v>S012</x:v>
      </x:c>
      <x:c r="B115" t="str">
        <x:v>English</x:v>
      </x:c>
      <x:c r="C115" t="str">
        <x:v>E101</x:v>
      </x:c>
      <x:c r="D115" t="str">
        <x:v>Midterm</x:v>
      </x:c>
      <x:c r="E115" t="str">
        <x:v>Term 1</x:v>
      </x:c>
      <x:c r="F115" s="34" t="n">
        <x:v>67</x:v>
      </x:c>
      <x:c r="G115" s="34" t="n">
        <x:v>100</x:v>
      </x:c>
      <x:c r="H115" t="str">
        <x:f>IF(F115="","",IF(F115&gt;=40,"Pass","Fail"))</x:f>
        <x:v>Pass</x:v>
      </x:c>
      <x:c r="I115" t="str">
        <x:f>VLOOKUP(A115,Students!$A$2:$F$31,5,FALSE)</x:f>
        <x:v>12C</x:v>
      </x:c>
      <x:c r="J115" t="n">
        <x:f>SUMIFS(Targets!$C$2:$C$16,Targets!$A$2:$A$16,I115,Targets!$B$2:$B$16,B115)</x:f>
        <x:v>70</x:v>
      </x:c>
      <x:c r="K115" t="str">
        <x:f>IF(F115&gt;=J115,"Yes","No")</x:f>
        <x:v>No</x:v>
      </x:c>
    </x:row>
    <x:row r="116">
      <x:c r="A116" t="str">
        <x:v>S012</x:v>
      </x:c>
      <x:c r="B116" t="str">
        <x:v>Computer Science</x:v>
      </x:c>
      <x:c r="C116" t="str">
        <x:v>E101</x:v>
      </x:c>
      <x:c r="D116" t="str">
        <x:v>Midterm</x:v>
      </x:c>
      <x:c r="E116" t="str">
        <x:v>Term 1</x:v>
      </x:c>
      <x:c r="F116" s="34" t="n">
        <x:v>85.8</x:v>
      </x:c>
      <x:c r="G116" s="34" t="n">
        <x:v>100</x:v>
      </x:c>
      <x:c r="H116" t="str">
        <x:f>IF(F116="","",IF(F116&gt;=40,"Pass","Fail"))</x:f>
        <x:v>Pass</x:v>
      </x:c>
      <x:c r="I116" t="str">
        <x:f>VLOOKUP(A116,Students!$A$2:$F$31,5,FALSE)</x:f>
        <x:v>12C</x:v>
      </x:c>
      <x:c r="J116" t="n">
        <x:f>SUMIFS(Targets!$C$2:$C$16,Targets!$A$2:$A$16,I116,Targets!$B$2:$B$16,B116)</x:f>
        <x:v>80</x:v>
      </x:c>
      <x:c r="K116" t="str">
        <x:f>IF(F116&gt;=J116,"Yes","No")</x:f>
        <x:v>Yes</x:v>
      </x:c>
    </x:row>
    <x:row r="117">
      <x:c r="A117" t="str">
        <x:v>S012</x:v>
      </x:c>
      <x:c r="B117" t="str">
        <x:v>Maths</x:v>
      </x:c>
      <x:c r="C117" t="str">
        <x:v>E102</x:v>
      </x:c>
      <x:c r="D117" t="str">
        <x:v>Final</x:v>
      </x:c>
      <x:c r="E117" t="str">
        <x:v>Term 2</x:v>
      </x:c>
      <x:c r="F117" s="34" t="n">
        <x:v>80.2</x:v>
      </x:c>
      <x:c r="G117" s="34" t="n">
        <x:v>100</x:v>
      </x:c>
      <x:c r="H117" t="str">
        <x:f>IF(F117="","",IF(F117&gt;=40,"Pass","Fail"))</x:f>
        <x:v>Pass</x:v>
      </x:c>
      <x:c r="I117" t="str">
        <x:f>VLOOKUP(A117,Students!$A$2:$F$31,5,FALSE)</x:f>
        <x:v>12C</x:v>
      </x:c>
      <x:c r="J117" t="n">
        <x:f>SUMIFS(Targets!$C$2:$C$16,Targets!$A$2:$A$16,I117,Targets!$B$2:$B$16,B117)</x:f>
        <x:v>70</x:v>
      </x:c>
      <x:c r="K117" t="str">
        <x:f>IF(F117&gt;=J117,"Yes","No")</x:f>
        <x:v>Yes</x:v>
      </x:c>
    </x:row>
    <x:row r="118">
      <x:c r="A118" t="str">
        <x:v>S012</x:v>
      </x:c>
      <x:c r="B118" t="str">
        <x:v>Physics</x:v>
      </x:c>
      <x:c r="C118" t="str">
        <x:v>E102</x:v>
      </x:c>
      <x:c r="D118" t="str">
        <x:v>Final</x:v>
      </x:c>
      <x:c r="E118" t="str">
        <x:v>Term 2</x:v>
      </x:c>
      <x:c r="F118" s="34" t="n">
        <x:v>66</x:v>
      </x:c>
      <x:c r="G118" s="34" t="n">
        <x:v>100</x:v>
      </x:c>
      <x:c r="H118" t="str">
        <x:f>IF(F118="","",IF(F118&gt;=40,"Pass","Fail"))</x:f>
        <x:v>Pass</x:v>
      </x:c>
      <x:c r="I118" t="str">
        <x:f>VLOOKUP(A118,Students!$A$2:$F$31,5,FALSE)</x:f>
        <x:v>12C</x:v>
      </x:c>
      <x:c r="J118" t="n">
        <x:f>SUMIFS(Targets!$C$2:$C$16,Targets!$A$2:$A$16,I118,Targets!$B$2:$B$16,B118)</x:f>
        <x:v>80</x:v>
      </x:c>
      <x:c r="K118" t="str">
        <x:f>IF(F118&gt;=J118,"Yes","No")</x:f>
        <x:v>No</x:v>
      </x:c>
    </x:row>
    <x:row r="119">
      <x:c r="A119" t="str">
        <x:v>S012</x:v>
      </x:c>
      <x:c r="B119" t="str">
        <x:v>Chemistry</x:v>
      </x:c>
      <x:c r="C119" t="str">
        <x:v>E102</x:v>
      </x:c>
      <x:c r="D119" t="str">
        <x:v>Final</x:v>
      </x:c>
      <x:c r="E119" t="str">
        <x:v>Term 2</x:v>
      </x:c>
      <x:c r="F119" s="34" t="n">
        <x:v>81.1</x:v>
      </x:c>
      <x:c r="G119" s="34" t="n">
        <x:v>100</x:v>
      </x:c>
      <x:c r="H119" t="str">
        <x:f>IF(F119="","",IF(F119&gt;=40,"Pass","Fail"))</x:f>
        <x:v>Pass</x:v>
      </x:c>
      <x:c r="I119" t="str">
        <x:f>VLOOKUP(A119,Students!$A$2:$F$31,5,FALSE)</x:f>
        <x:v>12C</x:v>
      </x:c>
      <x:c r="J119" t="n">
        <x:f>SUMIFS(Targets!$C$2:$C$16,Targets!$A$2:$A$16,I119,Targets!$B$2:$B$16,B119)</x:f>
        <x:v>65</x:v>
      </x:c>
      <x:c r="K119" t="str">
        <x:f>IF(F119&gt;=J119,"Yes","No")</x:f>
        <x:v>Yes</x:v>
      </x:c>
    </x:row>
    <x:row r="120">
      <x:c r="A120" t="str">
        <x:v>S012</x:v>
      </x:c>
      <x:c r="B120" t="str">
        <x:v>English</x:v>
      </x:c>
      <x:c r="C120" t="str">
        <x:v>E102</x:v>
      </x:c>
      <x:c r="D120" t="str">
        <x:v>Final</x:v>
      </x:c>
      <x:c r="E120" t="str">
        <x:v>Term 2</x:v>
      </x:c>
      <x:c r="F120" s="34" t="n">
        <x:v>99.7</x:v>
      </x:c>
      <x:c r="G120" s="34" t="n">
        <x:v>100</x:v>
      </x:c>
      <x:c r="H120" t="str">
        <x:f>IF(F120="","",IF(F120&gt;=40,"Pass","Fail"))</x:f>
        <x:v>Pass</x:v>
      </x:c>
      <x:c r="I120" t="str">
        <x:f>VLOOKUP(A120,Students!$A$2:$F$31,5,FALSE)</x:f>
        <x:v>12C</x:v>
      </x:c>
      <x:c r="J120" t="n">
        <x:f>SUMIFS(Targets!$C$2:$C$16,Targets!$A$2:$A$16,I120,Targets!$B$2:$B$16,B120)</x:f>
        <x:v>70</x:v>
      </x:c>
      <x:c r="K120" t="str">
        <x:f>IF(F120&gt;=J120,"Yes","No")</x:f>
        <x:v>Yes</x:v>
      </x:c>
    </x:row>
    <x:row r="121">
      <x:c r="A121" t="str">
        <x:v>S012</x:v>
      </x:c>
      <x:c r="B121" t="str">
        <x:v>Computer Science</x:v>
      </x:c>
      <x:c r="C121" t="str">
        <x:v>E102</x:v>
      </x:c>
      <x:c r="D121" t="str">
        <x:v>Final</x:v>
      </x:c>
      <x:c r="E121" t="str">
        <x:v>Term 2</x:v>
      </x:c>
      <x:c r="F121" s="34" t="n">
        <x:v>77</x:v>
      </x:c>
      <x:c r="G121" s="34" t="n">
        <x:v>100</x:v>
      </x:c>
      <x:c r="H121" t="str">
        <x:f>IF(F121="","",IF(F121&gt;=40,"Pass","Fail"))</x:f>
        <x:v>Pass</x:v>
      </x:c>
      <x:c r="I121" t="str">
        <x:f>VLOOKUP(A121,Students!$A$2:$F$31,5,FALSE)</x:f>
        <x:v>12C</x:v>
      </x:c>
      <x:c r="J121" t="n">
        <x:f>SUMIFS(Targets!$C$2:$C$16,Targets!$A$2:$A$16,I121,Targets!$B$2:$B$16,B121)</x:f>
        <x:v>80</x:v>
      </x:c>
      <x:c r="K121" t="str">
        <x:f>IF(F121&gt;=J121,"Yes","No")</x:f>
        <x:v>No</x:v>
      </x:c>
    </x:row>
    <x:row r="122">
      <x:c r="A122" t="str">
        <x:v>S013</x:v>
      </x:c>
      <x:c r="B122" t="str">
        <x:v>Maths</x:v>
      </x:c>
      <x:c r="C122" t="str">
        <x:v>E101</x:v>
      </x:c>
      <x:c r="D122" t="str">
        <x:v>Midterm</x:v>
      </x:c>
      <x:c r="E122" t="str">
        <x:v>Term 1</x:v>
      </x:c>
      <x:c r="F122" s="34" t="n">
        <x:v>69.4</x:v>
      </x:c>
      <x:c r="G122" s="34" t="n">
        <x:v>100</x:v>
      </x:c>
      <x:c r="H122" t="str">
        <x:f>IF(F122="","",IF(F122&gt;=40,"Pass","Fail"))</x:f>
        <x:v>Pass</x:v>
      </x:c>
      <x:c r="I122" t="str">
        <x:f>VLOOKUP(A122,Students!$A$2:$F$31,5,FALSE)</x:f>
        <x:v>12A</x:v>
      </x:c>
      <x:c r="J122" t="n">
        <x:f>SUMIFS(Targets!$C$2:$C$16,Targets!$A$2:$A$16,I122,Targets!$B$2:$B$16,B122)</x:f>
        <x:v>70</x:v>
      </x:c>
      <x:c r="K122" t="str">
        <x:f>IF(F122&gt;=J122,"Yes","No")</x:f>
        <x:v>No</x:v>
      </x:c>
    </x:row>
    <x:row r="123">
      <x:c r="A123" t="str">
        <x:v>S013</x:v>
      </x:c>
      <x:c r="B123" t="str">
        <x:v>Physics</x:v>
      </x:c>
      <x:c r="C123" t="str">
        <x:v>E101</x:v>
      </x:c>
      <x:c r="D123" t="str">
        <x:v>Midterm</x:v>
      </x:c>
      <x:c r="E123" t="str">
        <x:v>Term 1</x:v>
      </x:c>
      <x:c r="F123" s="34" t="n">
        <x:v>63.7</x:v>
      </x:c>
      <x:c r="G123" s="34" t="n">
        <x:v>100</x:v>
      </x:c>
      <x:c r="H123" t="str">
        <x:f>IF(F123="","",IF(F123&gt;=40,"Pass","Fail"))</x:f>
        <x:v>Pass</x:v>
      </x:c>
      <x:c r="I123" t="str">
        <x:f>VLOOKUP(A123,Students!$A$2:$F$31,5,FALSE)</x:f>
        <x:v>12A</x:v>
      </x:c>
      <x:c r="J123" t="n">
        <x:f>SUMIFS(Targets!$C$2:$C$16,Targets!$A$2:$A$16,I123,Targets!$B$2:$B$16,B123)</x:f>
        <x:v>60</x:v>
      </x:c>
      <x:c r="K123" t="str">
        <x:f>IF(F123&gt;=J123,"Yes","No")</x:f>
        <x:v>Yes</x:v>
      </x:c>
    </x:row>
    <x:row r="124">
      <x:c r="A124" t="str">
        <x:v>S013</x:v>
      </x:c>
      <x:c r="B124" t="str">
        <x:v>Chemistry</x:v>
      </x:c>
      <x:c r="C124" t="str">
        <x:v>E101</x:v>
      </x:c>
      <x:c r="D124" t="str">
        <x:v>Midterm</x:v>
      </x:c>
      <x:c r="E124" t="str">
        <x:v>Term 1</x:v>
      </x:c>
      <x:c r="F124" s="34" t="n">
        <x:v>89.9</x:v>
      </x:c>
      <x:c r="G124" s="34" t="n">
        <x:v>100</x:v>
      </x:c>
      <x:c r="H124" t="str">
        <x:f>IF(F124="","",IF(F124&gt;=40,"Pass","Fail"))</x:f>
        <x:v>Pass</x:v>
      </x:c>
      <x:c r="I124" t="str">
        <x:f>VLOOKUP(A124,Students!$A$2:$F$31,5,FALSE)</x:f>
        <x:v>12A</x:v>
      </x:c>
      <x:c r="J124" t="n">
        <x:f>SUMIFS(Targets!$C$2:$C$16,Targets!$A$2:$A$16,I124,Targets!$B$2:$B$16,B124)</x:f>
        <x:v>60</x:v>
      </x:c>
      <x:c r="K124" t="str">
        <x:f>IF(F124&gt;=J124,"Yes","No")</x:f>
        <x:v>Yes</x:v>
      </x:c>
    </x:row>
    <x:row r="125">
      <x:c r="A125" t="str">
        <x:v>S013</x:v>
      </x:c>
      <x:c r="B125" t="str">
        <x:v>English</x:v>
      </x:c>
      <x:c r="C125" t="str">
        <x:v>E101</x:v>
      </x:c>
      <x:c r="D125" t="str">
        <x:v>Midterm</x:v>
      </x:c>
      <x:c r="E125" t="str">
        <x:v>Term 1</x:v>
      </x:c>
      <x:c r="F125" s="34" t="n">
        <x:v>51.1</x:v>
      </x:c>
      <x:c r="G125" s="34" t="n">
        <x:v>100</x:v>
      </x:c>
      <x:c r="H125" t="str">
        <x:f>IF(F125="","",IF(F125&gt;=40,"Pass","Fail"))</x:f>
        <x:v>Pass</x:v>
      </x:c>
      <x:c r="I125" t="str">
        <x:f>VLOOKUP(A125,Students!$A$2:$F$31,5,FALSE)</x:f>
        <x:v>12A</x:v>
      </x:c>
      <x:c r="J125" t="n">
        <x:f>SUMIFS(Targets!$C$2:$C$16,Targets!$A$2:$A$16,I125,Targets!$B$2:$B$16,B125)</x:f>
        <x:v>60</x:v>
      </x:c>
      <x:c r="K125" t="str">
        <x:f>IF(F125&gt;=J125,"Yes","No")</x:f>
        <x:v>No</x:v>
      </x:c>
    </x:row>
    <x:row r="126">
      <x:c r="A126" t="str">
        <x:v>S013</x:v>
      </x:c>
      <x:c r="B126" t="str">
        <x:v>Computer Science</x:v>
      </x:c>
      <x:c r="C126" t="str">
        <x:v>E101</x:v>
      </x:c>
      <x:c r="D126" t="str">
        <x:v>Midterm</x:v>
      </x:c>
      <x:c r="E126" t="str">
        <x:v>Term 1</x:v>
      </x:c>
      <x:c r="F126" s="34" t="n">
        <x:v>69.5</x:v>
      </x:c>
      <x:c r="G126" s="34" t="n">
        <x:v>100</x:v>
      </x:c>
      <x:c r="H126" t="str">
        <x:f>IF(F126="","",IF(F126&gt;=40,"Pass","Fail"))</x:f>
        <x:v>Pass</x:v>
      </x:c>
      <x:c r="I126" t="str">
        <x:f>VLOOKUP(A126,Students!$A$2:$F$31,5,FALSE)</x:f>
        <x:v>12A</x:v>
      </x:c>
      <x:c r="J126" t="n">
        <x:f>SUMIFS(Targets!$C$2:$C$16,Targets!$A$2:$A$16,I126,Targets!$B$2:$B$16,B126)</x:f>
        <x:v>80</x:v>
      </x:c>
      <x:c r="K126" t="str">
        <x:f>IF(F126&gt;=J126,"Yes","No")</x:f>
        <x:v>No</x:v>
      </x:c>
    </x:row>
    <x:row r="127">
      <x:c r="A127" t="str">
        <x:v>S013</x:v>
      </x:c>
      <x:c r="B127" t="str">
        <x:v>Maths</x:v>
      </x:c>
      <x:c r="C127" t="str">
        <x:v>E102</x:v>
      </x:c>
      <x:c r="D127" t="str">
        <x:v>Final</x:v>
      </x:c>
      <x:c r="E127" t="str">
        <x:v>Term 2</x:v>
      </x:c>
      <x:c r="F127" s="34" t="n">
        <x:v>61.5</x:v>
      </x:c>
      <x:c r="G127" s="34" t="n">
        <x:v>100</x:v>
      </x:c>
      <x:c r="H127" t="str">
        <x:f>IF(F127="","",IF(F127&gt;=40,"Pass","Fail"))</x:f>
        <x:v>Pass</x:v>
      </x:c>
      <x:c r="I127" t="str">
        <x:f>VLOOKUP(A127,Students!$A$2:$F$31,5,FALSE)</x:f>
        <x:v>12A</x:v>
      </x:c>
      <x:c r="J127" t="n">
        <x:f>SUMIFS(Targets!$C$2:$C$16,Targets!$A$2:$A$16,I127,Targets!$B$2:$B$16,B127)</x:f>
        <x:v>70</x:v>
      </x:c>
      <x:c r="K127" t="str">
        <x:f>IF(F127&gt;=J127,"Yes","No")</x:f>
        <x:v>No</x:v>
      </x:c>
    </x:row>
    <x:row r="128">
      <x:c r="A128" t="str">
        <x:v>S013</x:v>
      </x:c>
      <x:c r="B128" t="str">
        <x:v>Physics</x:v>
      </x:c>
      <x:c r="C128" t="str">
        <x:v>E102</x:v>
      </x:c>
      <x:c r="D128" t="str">
        <x:v>Final</x:v>
      </x:c>
      <x:c r="E128" t="str">
        <x:v>Term 2</x:v>
      </x:c>
      <x:c r="F128" s="34" t="n">
        <x:v>57.9</x:v>
      </x:c>
      <x:c r="G128" s="34" t="n">
        <x:v>100</x:v>
      </x:c>
      <x:c r="H128" t="str">
        <x:f>IF(F128="","",IF(F128&gt;=40,"Pass","Fail"))</x:f>
        <x:v>Pass</x:v>
      </x:c>
      <x:c r="I128" t="str">
        <x:f>VLOOKUP(A128,Students!$A$2:$F$31,5,FALSE)</x:f>
        <x:v>12A</x:v>
      </x:c>
      <x:c r="J128" t="n">
        <x:f>SUMIFS(Targets!$C$2:$C$16,Targets!$A$2:$A$16,I128,Targets!$B$2:$B$16,B128)</x:f>
        <x:v>60</x:v>
      </x:c>
      <x:c r="K128" t="str">
        <x:f>IF(F128&gt;=J128,"Yes","No")</x:f>
        <x:v>No</x:v>
      </x:c>
    </x:row>
    <x:row r="129">
      <x:c r="A129" t="str">
        <x:v>S013</x:v>
      </x:c>
      <x:c r="B129" t="str">
        <x:v>Chemistry</x:v>
      </x:c>
      <x:c r="C129" t="str">
        <x:v>E102</x:v>
      </x:c>
      <x:c r="D129" t="str">
        <x:v>Final</x:v>
      </x:c>
      <x:c r="E129" t="str">
        <x:v>Term 2</x:v>
      </x:c>
      <x:c r="F129" s="34" t="n">
        <x:v>68.4</x:v>
      </x:c>
      <x:c r="G129" s="34" t="n">
        <x:v>100</x:v>
      </x:c>
      <x:c r="H129" t="str">
        <x:f>IF(F129="","",IF(F129&gt;=40,"Pass","Fail"))</x:f>
        <x:v>Pass</x:v>
      </x:c>
      <x:c r="I129" t="str">
        <x:f>VLOOKUP(A129,Students!$A$2:$F$31,5,FALSE)</x:f>
        <x:v>12A</x:v>
      </x:c>
      <x:c r="J129" t="n">
        <x:f>SUMIFS(Targets!$C$2:$C$16,Targets!$A$2:$A$16,I129,Targets!$B$2:$B$16,B129)</x:f>
        <x:v>60</x:v>
      </x:c>
      <x:c r="K129" t="str">
        <x:f>IF(F129&gt;=J129,"Yes","No")</x:f>
        <x:v>Yes</x:v>
      </x:c>
    </x:row>
    <x:row r="130">
      <x:c r="A130" t="str">
        <x:v>S013</x:v>
      </x:c>
      <x:c r="B130" t="str">
        <x:v>English</x:v>
      </x:c>
      <x:c r="C130" t="str">
        <x:v>E102</x:v>
      </x:c>
      <x:c r="D130" t="str">
        <x:v>Final</x:v>
      </x:c>
      <x:c r="E130" t="str">
        <x:v>Term 2</x:v>
      </x:c>
      <x:c r="F130" s="34" t="n">
        <x:v>64</x:v>
      </x:c>
      <x:c r="G130" s="34" t="n">
        <x:v>100</x:v>
      </x:c>
      <x:c r="H130" t="str">
        <x:f>IF(F130="","",IF(F130&gt;=40,"Pass","Fail"))</x:f>
        <x:v>Pass</x:v>
      </x:c>
      <x:c r="I130" t="str">
        <x:f>VLOOKUP(A130,Students!$A$2:$F$31,5,FALSE)</x:f>
        <x:v>12A</x:v>
      </x:c>
      <x:c r="J130" t="n">
        <x:f>SUMIFS(Targets!$C$2:$C$16,Targets!$A$2:$A$16,I130,Targets!$B$2:$B$16,B130)</x:f>
        <x:v>60</x:v>
      </x:c>
      <x:c r="K130" t="str">
        <x:f>IF(F130&gt;=J130,"Yes","No")</x:f>
        <x:v>Yes</x:v>
      </x:c>
    </x:row>
    <x:row r="131">
      <x:c r="A131" t="str">
        <x:v>S013</x:v>
      </x:c>
      <x:c r="B131" t="str">
        <x:v>Computer Science</x:v>
      </x:c>
      <x:c r="C131" t="str">
        <x:v>E102</x:v>
      </x:c>
      <x:c r="D131" t="str">
        <x:v>Final</x:v>
      </x:c>
      <x:c r="E131" t="str">
        <x:v>Term 2</x:v>
      </x:c>
      <x:c r="F131" s="34" t="n">
        <x:v>43</x:v>
      </x:c>
      <x:c r="G131" s="34" t="n">
        <x:v>100</x:v>
      </x:c>
      <x:c r="H131" t="str">
        <x:f>IF(F131="","",IF(F131&gt;=40,"Pass","Fail"))</x:f>
        <x:v>Pass</x:v>
      </x:c>
      <x:c r="I131" t="str">
        <x:f>VLOOKUP(A131,Students!$A$2:$F$31,5,FALSE)</x:f>
        <x:v>12A</x:v>
      </x:c>
      <x:c r="J131" t="n">
        <x:f>SUMIFS(Targets!$C$2:$C$16,Targets!$A$2:$A$16,I131,Targets!$B$2:$B$16,B131)</x:f>
        <x:v>80</x:v>
      </x:c>
      <x:c r="K131" t="str">
        <x:f>IF(F131&gt;=J131,"Yes","No")</x:f>
        <x:v>No</x:v>
      </x:c>
    </x:row>
    <x:row r="132">
      <x:c r="A132" t="str">
        <x:v>S014</x:v>
      </x:c>
      <x:c r="B132" t="str">
        <x:v>Maths</x:v>
      </x:c>
      <x:c r="C132" t="str">
        <x:v>E101</x:v>
      </x:c>
      <x:c r="D132" t="str">
        <x:v>Midterm</x:v>
      </x:c>
      <x:c r="E132" t="str">
        <x:v>Term 1</x:v>
      </x:c>
      <x:c r="F132" s="34" t="n">
        <x:v>72.9</x:v>
      </x:c>
      <x:c r="G132" s="34" t="n">
        <x:v>100</x:v>
      </x:c>
      <x:c r="H132" t="str">
        <x:f>IF(F132="","",IF(F132&gt;=40,"Pass","Fail"))</x:f>
        <x:v>Pass</x:v>
      </x:c>
      <x:c r="I132" t="str">
        <x:f>VLOOKUP(A132,Students!$A$2:$F$31,5,FALSE)</x:f>
        <x:v>12C</x:v>
      </x:c>
      <x:c r="J132" t="n">
        <x:f>SUMIFS(Targets!$C$2:$C$16,Targets!$A$2:$A$16,I132,Targets!$B$2:$B$16,B132)</x:f>
        <x:v>70</x:v>
      </x:c>
      <x:c r="K132" t="str">
        <x:f>IF(F132&gt;=J132,"Yes","No")</x:f>
        <x:v>Yes</x:v>
      </x:c>
    </x:row>
    <x:row r="133">
      <x:c r="A133" t="str">
        <x:v>S014</x:v>
      </x:c>
      <x:c r="B133" t="str">
        <x:v>Physics</x:v>
      </x:c>
      <x:c r="C133" t="str">
        <x:v>E101</x:v>
      </x:c>
      <x:c r="D133" t="str">
        <x:v>Midterm</x:v>
      </x:c>
      <x:c r="E133" t="str">
        <x:v>Term 1</x:v>
      </x:c>
      <x:c r="F133" s="34" t="n">
        <x:v>69.9</x:v>
      </x:c>
      <x:c r="G133" s="34" t="n">
        <x:v>100</x:v>
      </x:c>
      <x:c r="H133" t="str">
        <x:f>IF(F133="","",IF(F133&gt;=40,"Pass","Fail"))</x:f>
        <x:v>Pass</x:v>
      </x:c>
      <x:c r="I133" t="str">
        <x:f>VLOOKUP(A133,Students!$A$2:$F$31,5,FALSE)</x:f>
        <x:v>12C</x:v>
      </x:c>
      <x:c r="J133" t="n">
        <x:f>SUMIFS(Targets!$C$2:$C$16,Targets!$A$2:$A$16,I133,Targets!$B$2:$B$16,B133)</x:f>
        <x:v>80</x:v>
      </x:c>
      <x:c r="K133" t="str">
        <x:f>IF(F133&gt;=J133,"Yes","No")</x:f>
        <x:v>No</x:v>
      </x:c>
    </x:row>
    <x:row r="134">
      <x:c r="A134" t="str">
        <x:v>S014</x:v>
      </x:c>
      <x:c r="B134" t="str">
        <x:v>Chemistry</x:v>
      </x:c>
      <x:c r="C134" t="str">
        <x:v>E101</x:v>
      </x:c>
      <x:c r="D134" t="str">
        <x:v>Midterm</x:v>
      </x:c>
      <x:c r="E134" t="str">
        <x:v>Term 1</x:v>
      </x:c>
      <x:c r="F134" s="34" t="n">
        <x:v>56.5</x:v>
      </x:c>
      <x:c r="G134" s="34" t="n">
        <x:v>100</x:v>
      </x:c>
      <x:c r="H134" t="str">
        <x:f>IF(F134="","",IF(F134&gt;=40,"Pass","Fail"))</x:f>
        <x:v>Pass</x:v>
      </x:c>
      <x:c r="I134" t="str">
        <x:f>VLOOKUP(A134,Students!$A$2:$F$31,5,FALSE)</x:f>
        <x:v>12C</x:v>
      </x:c>
      <x:c r="J134" t="n">
        <x:f>SUMIFS(Targets!$C$2:$C$16,Targets!$A$2:$A$16,I134,Targets!$B$2:$B$16,B134)</x:f>
        <x:v>65</x:v>
      </x:c>
      <x:c r="K134" t="str">
        <x:f>IF(F134&gt;=J134,"Yes","No")</x:f>
        <x:v>No</x:v>
      </x:c>
    </x:row>
    <x:row r="135">
      <x:c r="A135" t="str">
        <x:v>S014</x:v>
      </x:c>
      <x:c r="B135" t="str">
        <x:v>English</x:v>
      </x:c>
      <x:c r="C135" t="str">
        <x:v>E101</x:v>
      </x:c>
      <x:c r="D135" t="str">
        <x:v>Midterm</x:v>
      </x:c>
      <x:c r="E135" t="str">
        <x:v>Term 1</x:v>
      </x:c>
      <x:c r="F135" s="34" t="n">
        <x:v>70.3</x:v>
      </x:c>
      <x:c r="G135" s="34" t="n">
        <x:v>100</x:v>
      </x:c>
      <x:c r="H135" t="str">
        <x:f>IF(F135="","",IF(F135&gt;=40,"Pass","Fail"))</x:f>
        <x:v>Pass</x:v>
      </x:c>
      <x:c r="I135" t="str">
        <x:f>VLOOKUP(A135,Students!$A$2:$F$31,5,FALSE)</x:f>
        <x:v>12C</x:v>
      </x:c>
      <x:c r="J135" t="n">
        <x:f>SUMIFS(Targets!$C$2:$C$16,Targets!$A$2:$A$16,I135,Targets!$B$2:$B$16,B135)</x:f>
        <x:v>70</x:v>
      </x:c>
      <x:c r="K135" t="str">
        <x:f>IF(F135&gt;=J135,"Yes","No")</x:f>
        <x:v>Yes</x:v>
      </x:c>
    </x:row>
    <x:row r="136">
      <x:c r="A136" t="str">
        <x:v>S014</x:v>
      </x:c>
      <x:c r="B136" t="str">
        <x:v>Computer Science</x:v>
      </x:c>
      <x:c r="C136" t="str">
        <x:v>E101</x:v>
      </x:c>
      <x:c r="D136" t="str">
        <x:v>Midterm</x:v>
      </x:c>
      <x:c r="E136" t="str">
        <x:v>Term 1</x:v>
      </x:c>
      <x:c r="F136" s="34" t="n">
        <x:v>91.1</x:v>
      </x:c>
      <x:c r="G136" s="34" t="n">
        <x:v>100</x:v>
      </x:c>
      <x:c r="H136" t="str">
        <x:f>IF(F136="","",IF(F136&gt;=40,"Pass","Fail"))</x:f>
        <x:v>Pass</x:v>
      </x:c>
      <x:c r="I136" t="str">
        <x:f>VLOOKUP(A136,Students!$A$2:$F$31,5,FALSE)</x:f>
        <x:v>12C</x:v>
      </x:c>
      <x:c r="J136" t="n">
        <x:f>SUMIFS(Targets!$C$2:$C$16,Targets!$A$2:$A$16,I136,Targets!$B$2:$B$16,B136)</x:f>
        <x:v>80</x:v>
      </x:c>
      <x:c r="K136" t="str">
        <x:f>IF(F136&gt;=J136,"Yes","No")</x:f>
        <x:v>Yes</x:v>
      </x:c>
    </x:row>
    <x:row r="137">
      <x:c r="A137" t="str">
        <x:v>S014</x:v>
      </x:c>
      <x:c r="B137" t="str">
        <x:v>Maths</x:v>
      </x:c>
      <x:c r="C137" t="str">
        <x:v>E102</x:v>
      </x:c>
      <x:c r="D137" t="str">
        <x:v>Final</x:v>
      </x:c>
      <x:c r="E137" t="str">
        <x:v>Term 2</x:v>
      </x:c>
      <x:c r="F137" s="34" t="n">
        <x:v>58.9</x:v>
      </x:c>
      <x:c r="G137" s="34" t="n">
        <x:v>100</x:v>
      </x:c>
      <x:c r="H137" t="str">
        <x:f>IF(F137="","",IF(F137&gt;=40,"Pass","Fail"))</x:f>
        <x:v>Pass</x:v>
      </x:c>
      <x:c r="I137" t="str">
        <x:f>VLOOKUP(A137,Students!$A$2:$F$31,5,FALSE)</x:f>
        <x:v>12C</x:v>
      </x:c>
      <x:c r="J137" t="n">
        <x:f>SUMIFS(Targets!$C$2:$C$16,Targets!$A$2:$A$16,I137,Targets!$B$2:$B$16,B137)</x:f>
        <x:v>70</x:v>
      </x:c>
      <x:c r="K137" t="str">
        <x:f>IF(F137&gt;=J137,"Yes","No")</x:f>
        <x:v>No</x:v>
      </x:c>
    </x:row>
    <x:row r="138">
      <x:c r="A138" t="str">
        <x:v>S014</x:v>
      </x:c>
      <x:c r="B138" t="str">
        <x:v>Physics</x:v>
      </x:c>
      <x:c r="C138" t="str">
        <x:v>E102</x:v>
      </x:c>
      <x:c r="D138" t="str">
        <x:v>Final</x:v>
      </x:c>
      <x:c r="E138" t="str">
        <x:v>Term 2</x:v>
      </x:c>
      <x:c r="F138" s="34" t="n">
        <x:v>58.1</x:v>
      </x:c>
      <x:c r="G138" s="34" t="n">
        <x:v>100</x:v>
      </x:c>
      <x:c r="H138" t="str">
        <x:f>IF(F138="","",IF(F138&gt;=40,"Pass","Fail"))</x:f>
        <x:v>Pass</x:v>
      </x:c>
      <x:c r="I138" t="str">
        <x:f>VLOOKUP(A138,Students!$A$2:$F$31,5,FALSE)</x:f>
        <x:v>12C</x:v>
      </x:c>
      <x:c r="J138" t="n">
        <x:f>SUMIFS(Targets!$C$2:$C$16,Targets!$A$2:$A$16,I138,Targets!$B$2:$B$16,B138)</x:f>
        <x:v>80</x:v>
      </x:c>
      <x:c r="K138" t="str">
        <x:f>IF(F138&gt;=J138,"Yes","No")</x:f>
        <x:v>No</x:v>
      </x:c>
    </x:row>
    <x:row r="139">
      <x:c r="A139" t="str">
        <x:v>S014</x:v>
      </x:c>
      <x:c r="B139" t="str">
        <x:v>Chemistry</x:v>
      </x:c>
      <x:c r="C139" t="str">
        <x:v>E102</x:v>
      </x:c>
      <x:c r="D139" t="str">
        <x:v>Final</x:v>
      </x:c>
      <x:c r="E139" t="str">
        <x:v>Term 2</x:v>
      </x:c>
      <x:c r="F139" s="34" t="n">
        <x:v>62.1</x:v>
      </x:c>
      <x:c r="G139" s="34" t="n">
        <x:v>100</x:v>
      </x:c>
      <x:c r="H139" t="str">
        <x:f>IF(F139="","",IF(F139&gt;=40,"Pass","Fail"))</x:f>
        <x:v>Pass</x:v>
      </x:c>
      <x:c r="I139" t="str">
        <x:f>VLOOKUP(A139,Students!$A$2:$F$31,5,FALSE)</x:f>
        <x:v>12C</x:v>
      </x:c>
      <x:c r="J139" t="n">
        <x:f>SUMIFS(Targets!$C$2:$C$16,Targets!$A$2:$A$16,I139,Targets!$B$2:$B$16,B139)</x:f>
        <x:v>65</x:v>
      </x:c>
      <x:c r="K139" t="str">
        <x:f>IF(F139&gt;=J139,"Yes","No")</x:f>
        <x:v>No</x:v>
      </x:c>
    </x:row>
    <x:row r="140">
      <x:c r="A140" t="str">
        <x:v>S014</x:v>
      </x:c>
      <x:c r="B140" t="str">
        <x:v>English</x:v>
      </x:c>
      <x:c r="C140" t="str">
        <x:v>E102</x:v>
      </x:c>
      <x:c r="D140" t="str">
        <x:v>Final</x:v>
      </x:c>
      <x:c r="E140" t="str">
        <x:v>Term 2</x:v>
      </x:c>
      <x:c r="F140" s="34" t="n">
        <x:v>71.3</x:v>
      </x:c>
      <x:c r="G140" s="34" t="n">
        <x:v>100</x:v>
      </x:c>
      <x:c r="H140" t="str">
        <x:f>IF(F140="","",IF(F140&gt;=40,"Pass","Fail"))</x:f>
        <x:v>Pass</x:v>
      </x:c>
      <x:c r="I140" t="str">
        <x:f>VLOOKUP(A140,Students!$A$2:$F$31,5,FALSE)</x:f>
        <x:v>12C</x:v>
      </x:c>
      <x:c r="J140" t="n">
        <x:f>SUMIFS(Targets!$C$2:$C$16,Targets!$A$2:$A$16,I140,Targets!$B$2:$B$16,B140)</x:f>
        <x:v>70</x:v>
      </x:c>
      <x:c r="K140" t="str">
        <x:f>IF(F140&gt;=J140,"Yes","No")</x:f>
        <x:v>Yes</x:v>
      </x:c>
    </x:row>
    <x:row r="141">
      <x:c r="A141" t="str">
        <x:v>S014</x:v>
      </x:c>
      <x:c r="B141" t="str">
        <x:v>Computer Science</x:v>
      </x:c>
      <x:c r="C141" t="str">
        <x:v>E102</x:v>
      </x:c>
      <x:c r="D141" t="str">
        <x:v>Final</x:v>
      </x:c>
      <x:c r="E141" t="str">
        <x:v>Term 2</x:v>
      </x:c>
      <x:c r="F141" s="34" t="n">
        <x:v>59.7</x:v>
      </x:c>
      <x:c r="G141" s="34" t="n">
        <x:v>100</x:v>
      </x:c>
      <x:c r="H141" t="str">
        <x:f>IF(F141="","",IF(F141&gt;=40,"Pass","Fail"))</x:f>
        <x:v>Pass</x:v>
      </x:c>
      <x:c r="I141" t="str">
        <x:f>VLOOKUP(A141,Students!$A$2:$F$31,5,FALSE)</x:f>
        <x:v>12C</x:v>
      </x:c>
      <x:c r="J141" t="n">
        <x:f>SUMIFS(Targets!$C$2:$C$16,Targets!$A$2:$A$16,I141,Targets!$B$2:$B$16,B141)</x:f>
        <x:v>80</x:v>
      </x:c>
      <x:c r="K141" t="str">
        <x:f>IF(F141&gt;=J141,"Yes","No")</x:f>
        <x:v>No</x:v>
      </x:c>
    </x:row>
    <x:row r="142">
      <x:c r="A142" t="str">
        <x:v>S015</x:v>
      </x:c>
      <x:c r="B142" t="str">
        <x:v>Maths</x:v>
      </x:c>
      <x:c r="C142" t="str">
        <x:v>E101</x:v>
      </x:c>
      <x:c r="D142" t="str">
        <x:v>Midterm</x:v>
      </x:c>
      <x:c r="E142" t="str">
        <x:v>Term 1</x:v>
      </x:c>
      <x:c r="F142" s="34" t="n">
        <x:v>51.4</x:v>
      </x:c>
      <x:c r="G142" s="34" t="n">
        <x:v>100</x:v>
      </x:c>
      <x:c r="H142" t="str">
        <x:f>IF(F142="","",IF(F142&gt;=40,"Pass","Fail"))</x:f>
        <x:v>Pass</x:v>
      </x:c>
      <x:c r="I142" t="str">
        <x:f>VLOOKUP(A142,Students!$A$2:$F$31,5,FALSE)</x:f>
        <x:v>12B</x:v>
      </x:c>
      <x:c r="J142" t="n">
        <x:f>SUMIFS(Targets!$C$2:$C$16,Targets!$A$2:$A$16,I142,Targets!$B$2:$B$16,B142)</x:f>
        <x:v>75</x:v>
      </x:c>
      <x:c r="K142" t="str">
        <x:f>IF(F142&gt;=J142,"Yes","No")</x:f>
        <x:v>No</x:v>
      </x:c>
    </x:row>
    <x:row r="143">
      <x:c r="A143" t="str">
        <x:v>S015</x:v>
      </x:c>
      <x:c r="B143" t="str">
        <x:v>Physics</x:v>
      </x:c>
      <x:c r="C143" t="str">
        <x:v>E101</x:v>
      </x:c>
      <x:c r="D143" t="str">
        <x:v>Midterm</x:v>
      </x:c>
      <x:c r="E143" t="str">
        <x:v>Term 1</x:v>
      </x:c>
      <x:c r="F143" s="34" t="n">
        <x:v>73.2</x:v>
      </x:c>
      <x:c r="G143" s="34" t="n">
        <x:v>100</x:v>
      </x:c>
      <x:c r="H143" t="str">
        <x:f>IF(F143="","",IF(F143&gt;=40,"Pass","Fail"))</x:f>
        <x:v>Pass</x:v>
      </x:c>
      <x:c r="I143" t="str">
        <x:f>VLOOKUP(A143,Students!$A$2:$F$31,5,FALSE)</x:f>
        <x:v>12B</x:v>
      </x:c>
      <x:c r="J143" t="n">
        <x:f>SUMIFS(Targets!$C$2:$C$16,Targets!$A$2:$A$16,I143,Targets!$B$2:$B$16,B143)</x:f>
        <x:v>80</x:v>
      </x:c>
      <x:c r="K143" t="str">
        <x:f>IF(F143&gt;=J143,"Yes","No")</x:f>
        <x:v>No</x:v>
      </x:c>
    </x:row>
    <x:row r="144">
      <x:c r="A144" t="str">
        <x:v>S015</x:v>
      </x:c>
      <x:c r="B144" t="str">
        <x:v>Chemistry</x:v>
      </x:c>
      <x:c r="C144" t="str">
        <x:v>E101</x:v>
      </x:c>
      <x:c r="D144" t="str">
        <x:v>Midterm</x:v>
      </x:c>
      <x:c r="E144" t="str">
        <x:v>Term 1</x:v>
      </x:c>
      <x:c r="F144" s="34" t="n">
        <x:v>72.4</x:v>
      </x:c>
      <x:c r="G144" s="34" t="n">
        <x:v>100</x:v>
      </x:c>
      <x:c r="H144" t="str">
        <x:f>IF(F144="","",IF(F144&gt;=40,"Pass","Fail"))</x:f>
        <x:v>Pass</x:v>
      </x:c>
      <x:c r="I144" t="str">
        <x:f>VLOOKUP(A144,Students!$A$2:$F$31,5,FALSE)</x:f>
        <x:v>12B</x:v>
      </x:c>
      <x:c r="J144" t="n">
        <x:f>SUMIFS(Targets!$C$2:$C$16,Targets!$A$2:$A$16,I144,Targets!$B$2:$B$16,B144)</x:f>
        <x:v>75</x:v>
      </x:c>
      <x:c r="K144" t="str">
        <x:f>IF(F144&gt;=J144,"Yes","No")</x:f>
        <x:v>No</x:v>
      </x:c>
    </x:row>
    <x:row r="145">
      <x:c r="A145" t="str">
        <x:v>S015</x:v>
      </x:c>
      <x:c r="B145" t="str">
        <x:v>English</x:v>
      </x:c>
      <x:c r="C145" t="str">
        <x:v>E101</x:v>
      </x:c>
      <x:c r="D145" t="str">
        <x:v>Midterm</x:v>
      </x:c>
      <x:c r="E145" t="str">
        <x:v>Term 1</x:v>
      </x:c>
      <x:c r="F145" s="34" t="n">
        <x:v>74.7</x:v>
      </x:c>
      <x:c r="G145" s="34" t="n">
        <x:v>100</x:v>
      </x:c>
      <x:c r="H145" t="str">
        <x:f>IF(F145="","",IF(F145&gt;=40,"Pass","Fail"))</x:f>
        <x:v>Pass</x:v>
      </x:c>
      <x:c r="I145" t="str">
        <x:f>VLOOKUP(A145,Students!$A$2:$F$31,5,FALSE)</x:f>
        <x:v>12B</x:v>
      </x:c>
      <x:c r="J145" t="n">
        <x:f>SUMIFS(Targets!$C$2:$C$16,Targets!$A$2:$A$16,I145,Targets!$B$2:$B$16,B145)</x:f>
        <x:v>80</x:v>
      </x:c>
      <x:c r="K145" t="str">
        <x:f>IF(F145&gt;=J145,"Yes","No")</x:f>
        <x:v>No</x:v>
      </x:c>
    </x:row>
    <x:row r="146">
      <x:c r="A146" t="str">
        <x:v>S015</x:v>
      </x:c>
      <x:c r="B146" t="str">
        <x:v>Computer Science</x:v>
      </x:c>
      <x:c r="C146" t="str">
        <x:v>E101</x:v>
      </x:c>
      <x:c r="D146" t="str">
        <x:v>Midterm</x:v>
      </x:c>
      <x:c r="E146" t="str">
        <x:v>Term 1</x:v>
      </x:c>
      <x:c r="F146" s="34" t="n">
        <x:v>70.1</x:v>
      </x:c>
      <x:c r="G146" s="34" t="n">
        <x:v>100</x:v>
      </x:c>
      <x:c r="H146" t="str">
        <x:f>IF(F146="","",IF(F146&gt;=40,"Pass","Fail"))</x:f>
        <x:v>Pass</x:v>
      </x:c>
      <x:c r="I146" t="str">
        <x:f>VLOOKUP(A146,Students!$A$2:$F$31,5,FALSE)</x:f>
        <x:v>12B</x:v>
      </x:c>
      <x:c r="J146" t="n">
        <x:f>SUMIFS(Targets!$C$2:$C$16,Targets!$A$2:$A$16,I146,Targets!$B$2:$B$16,B146)</x:f>
        <x:v>80</x:v>
      </x:c>
      <x:c r="K146" t="str">
        <x:f>IF(F146&gt;=J146,"Yes","No")</x:f>
        <x:v>No</x:v>
      </x:c>
    </x:row>
    <x:row r="147">
      <x:c r="A147" t="str">
        <x:v>S015</x:v>
      </x:c>
      <x:c r="B147" t="str">
        <x:v>Maths</x:v>
      </x:c>
      <x:c r="C147" t="str">
        <x:v>E102</x:v>
      </x:c>
      <x:c r="D147" t="str">
        <x:v>Final</x:v>
      </x:c>
      <x:c r="E147" t="str">
        <x:v>Term 2</x:v>
      </x:c>
      <x:c r="F147" s="34" t="n">
        <x:v>64.8</x:v>
      </x:c>
      <x:c r="G147" s="34" t="n">
        <x:v>100</x:v>
      </x:c>
      <x:c r="H147" t="str">
        <x:f>IF(F147="","",IF(F147&gt;=40,"Pass","Fail"))</x:f>
        <x:v>Pass</x:v>
      </x:c>
      <x:c r="I147" t="str">
        <x:f>VLOOKUP(A147,Students!$A$2:$F$31,5,FALSE)</x:f>
        <x:v>12B</x:v>
      </x:c>
      <x:c r="J147" t="n">
        <x:f>SUMIFS(Targets!$C$2:$C$16,Targets!$A$2:$A$16,I147,Targets!$B$2:$B$16,B147)</x:f>
        <x:v>75</x:v>
      </x:c>
      <x:c r="K147" t="str">
        <x:f>IF(F147&gt;=J147,"Yes","No")</x:f>
        <x:v>No</x:v>
      </x:c>
    </x:row>
    <x:row r="148">
      <x:c r="A148" t="str">
        <x:v>S015</x:v>
      </x:c>
      <x:c r="B148" t="str">
        <x:v>Physics</x:v>
      </x:c>
      <x:c r="C148" t="str">
        <x:v>E102</x:v>
      </x:c>
      <x:c r="D148" t="str">
        <x:v>Final</x:v>
      </x:c>
      <x:c r="E148" t="str">
        <x:v>Term 2</x:v>
      </x:c>
      <x:c r="F148" s="34" t="n">
        <x:v>61.7</x:v>
      </x:c>
      <x:c r="G148" s="34" t="n">
        <x:v>100</x:v>
      </x:c>
      <x:c r="H148" t="str">
        <x:f>IF(F148="","",IF(F148&gt;=40,"Pass","Fail"))</x:f>
        <x:v>Pass</x:v>
      </x:c>
      <x:c r="I148" t="str">
        <x:f>VLOOKUP(A148,Students!$A$2:$F$31,5,FALSE)</x:f>
        <x:v>12B</x:v>
      </x:c>
      <x:c r="J148" t="n">
        <x:f>SUMIFS(Targets!$C$2:$C$16,Targets!$A$2:$A$16,I148,Targets!$B$2:$B$16,B148)</x:f>
        <x:v>80</x:v>
      </x:c>
      <x:c r="K148" t="str">
        <x:f>IF(F148&gt;=J148,"Yes","No")</x:f>
        <x:v>No</x:v>
      </x:c>
    </x:row>
    <x:row r="149">
      <x:c r="A149" t="str">
        <x:v>S015</x:v>
      </x:c>
      <x:c r="B149" t="str">
        <x:v>Chemistry</x:v>
      </x:c>
      <x:c r="C149" t="str">
        <x:v>E102</x:v>
      </x:c>
      <x:c r="D149" t="str">
        <x:v>Final</x:v>
      </x:c>
      <x:c r="E149" t="str">
        <x:v>Term 2</x:v>
      </x:c>
      <x:c r="F149" s="34" t="n">
        <x:v>48.7</x:v>
      </x:c>
      <x:c r="G149" s="34" t="n">
        <x:v>100</x:v>
      </x:c>
      <x:c r="H149" t="str">
        <x:f>IF(F149="","",IF(F149&gt;=40,"Pass","Fail"))</x:f>
        <x:v>Pass</x:v>
      </x:c>
      <x:c r="I149" t="str">
        <x:f>VLOOKUP(A149,Students!$A$2:$F$31,5,FALSE)</x:f>
        <x:v>12B</x:v>
      </x:c>
      <x:c r="J149" t="n">
        <x:f>SUMIFS(Targets!$C$2:$C$16,Targets!$A$2:$A$16,I149,Targets!$B$2:$B$16,B149)</x:f>
        <x:v>75</x:v>
      </x:c>
      <x:c r="K149" t="str">
        <x:f>IF(F149&gt;=J149,"Yes","No")</x:f>
        <x:v>No</x:v>
      </x:c>
    </x:row>
    <x:row r="150">
      <x:c r="A150" t="str">
        <x:v>S015</x:v>
      </x:c>
      <x:c r="B150" t="str">
        <x:v>English</x:v>
      </x:c>
      <x:c r="C150" t="str">
        <x:v>E102</x:v>
      </x:c>
      <x:c r="D150" t="str">
        <x:v>Final</x:v>
      </x:c>
      <x:c r="E150" t="str">
        <x:v>Term 2</x:v>
      </x:c>
      <x:c r="F150" s="34" t="n">
        <x:v>74.2</x:v>
      </x:c>
      <x:c r="G150" s="34" t="n">
        <x:v>100</x:v>
      </x:c>
      <x:c r="H150" t="str">
        <x:f>IF(F150="","",IF(F150&gt;=40,"Pass","Fail"))</x:f>
        <x:v>Pass</x:v>
      </x:c>
      <x:c r="I150" t="str">
        <x:f>VLOOKUP(A150,Students!$A$2:$F$31,5,FALSE)</x:f>
        <x:v>12B</x:v>
      </x:c>
      <x:c r="J150" t="n">
        <x:f>SUMIFS(Targets!$C$2:$C$16,Targets!$A$2:$A$16,I150,Targets!$B$2:$B$16,B150)</x:f>
        <x:v>80</x:v>
      </x:c>
      <x:c r="K150" t="str">
        <x:f>IF(F150&gt;=J150,"Yes","No")</x:f>
        <x:v>No</x:v>
      </x:c>
    </x:row>
    <x:row r="151">
      <x:c r="A151" t="str">
        <x:v>S015</x:v>
      </x:c>
      <x:c r="B151" t="str">
        <x:v>Computer Science</x:v>
      </x:c>
      <x:c r="C151" t="str">
        <x:v>E102</x:v>
      </x:c>
      <x:c r="D151" t="str">
        <x:v>Final</x:v>
      </x:c>
      <x:c r="E151" t="str">
        <x:v>Term 2</x:v>
      </x:c>
      <x:c r="F151" s="34" t="n">
        <x:v>85.8</x:v>
      </x:c>
      <x:c r="G151" s="34" t="n">
        <x:v>100</x:v>
      </x:c>
      <x:c r="H151" t="str">
        <x:f>IF(F151="","",IF(F151&gt;=40,"Pass","Fail"))</x:f>
        <x:v>Pass</x:v>
      </x:c>
      <x:c r="I151" t="str">
        <x:f>VLOOKUP(A151,Students!$A$2:$F$31,5,FALSE)</x:f>
        <x:v>12B</x:v>
      </x:c>
      <x:c r="J151" t="n">
        <x:f>SUMIFS(Targets!$C$2:$C$16,Targets!$A$2:$A$16,I151,Targets!$B$2:$B$16,B151)</x:f>
        <x:v>80</x:v>
      </x:c>
      <x:c r="K151" t="str">
        <x:f>IF(F151&gt;=J151,"Yes","No")</x:f>
        <x:v>Yes</x:v>
      </x:c>
    </x:row>
    <x:row r="152">
      <x:c r="A152" t="str">
        <x:v>S016</x:v>
      </x:c>
      <x:c r="B152" t="str">
        <x:v>Maths</x:v>
      </x:c>
      <x:c r="C152" t="str">
        <x:v>E101</x:v>
      </x:c>
      <x:c r="D152" t="str">
        <x:v>Midterm</x:v>
      </x:c>
      <x:c r="E152" t="str">
        <x:v>Term 1</x:v>
      </x:c>
      <x:c r="F152" s="34" t="n">
        <x:v>69.7</x:v>
      </x:c>
      <x:c r="G152" s="34" t="n">
        <x:v>100</x:v>
      </x:c>
      <x:c r="H152" t="str">
        <x:f>IF(F152="","",IF(F152&gt;=40,"Pass","Fail"))</x:f>
        <x:v>Pass</x:v>
      </x:c>
      <x:c r="I152" t="str">
        <x:f>VLOOKUP(A152,Students!$A$2:$F$31,5,FALSE)</x:f>
        <x:v>12A</x:v>
      </x:c>
      <x:c r="J152" t="n">
        <x:f>SUMIFS(Targets!$C$2:$C$16,Targets!$A$2:$A$16,I152,Targets!$B$2:$B$16,B152)</x:f>
        <x:v>70</x:v>
      </x:c>
      <x:c r="K152" t="str">
        <x:f>IF(F152&gt;=J152,"Yes","No")</x:f>
        <x:v>No</x:v>
      </x:c>
    </x:row>
    <x:row r="153">
      <x:c r="A153" t="str">
        <x:v>S016</x:v>
      </x:c>
      <x:c r="B153" t="str">
        <x:v>Physics</x:v>
      </x:c>
      <x:c r="C153" t="str">
        <x:v>E101</x:v>
      </x:c>
      <x:c r="D153" t="str">
        <x:v>Midterm</x:v>
      </x:c>
      <x:c r="E153" t="str">
        <x:v>Term 1</x:v>
      </x:c>
      <x:c r="F153" s="34" t="n">
        <x:v>51.5</x:v>
      </x:c>
      <x:c r="G153" s="34" t="n">
        <x:v>100</x:v>
      </x:c>
      <x:c r="H153" t="str">
        <x:f>IF(F153="","",IF(F153&gt;=40,"Pass","Fail"))</x:f>
        <x:v>Pass</x:v>
      </x:c>
      <x:c r="I153" t="str">
        <x:f>VLOOKUP(A153,Students!$A$2:$F$31,5,FALSE)</x:f>
        <x:v>12A</x:v>
      </x:c>
      <x:c r="J153" t="n">
        <x:f>SUMIFS(Targets!$C$2:$C$16,Targets!$A$2:$A$16,I153,Targets!$B$2:$B$16,B153)</x:f>
        <x:v>60</x:v>
      </x:c>
      <x:c r="K153" t="str">
        <x:f>IF(F153&gt;=J153,"Yes","No")</x:f>
        <x:v>No</x:v>
      </x:c>
    </x:row>
    <x:row r="154">
      <x:c r="A154" t="str">
        <x:v>S016</x:v>
      </x:c>
      <x:c r="B154" t="str">
        <x:v>Chemistry</x:v>
      </x:c>
      <x:c r="C154" t="str">
        <x:v>E101</x:v>
      </x:c>
      <x:c r="D154" t="str">
        <x:v>Midterm</x:v>
      </x:c>
      <x:c r="E154" t="str">
        <x:v>Term 1</x:v>
      </x:c>
      <x:c r="F154" s="34" t="n">
        <x:v>51.3</x:v>
      </x:c>
      <x:c r="G154" s="34" t="n">
        <x:v>100</x:v>
      </x:c>
      <x:c r="H154" t="str">
        <x:f>IF(F154="","",IF(F154&gt;=40,"Pass","Fail"))</x:f>
        <x:v>Pass</x:v>
      </x:c>
      <x:c r="I154" t="str">
        <x:f>VLOOKUP(A154,Students!$A$2:$F$31,5,FALSE)</x:f>
        <x:v>12A</x:v>
      </x:c>
      <x:c r="J154" t="n">
        <x:f>SUMIFS(Targets!$C$2:$C$16,Targets!$A$2:$A$16,I154,Targets!$B$2:$B$16,B154)</x:f>
        <x:v>60</x:v>
      </x:c>
      <x:c r="K154" t="str">
        <x:f>IF(F154&gt;=J154,"Yes","No")</x:f>
        <x:v>No</x:v>
      </x:c>
    </x:row>
    <x:row r="155">
      <x:c r="A155" t="str">
        <x:v>S016</x:v>
      </x:c>
      <x:c r="B155" t="str">
        <x:v>English</x:v>
      </x:c>
      <x:c r="C155" t="str">
        <x:v>E101</x:v>
      </x:c>
      <x:c r="D155" t="str">
        <x:v>Midterm</x:v>
      </x:c>
      <x:c r="E155" t="str">
        <x:v>Term 1</x:v>
      </x:c>
      <x:c r="F155" s="34" t="n">
        <x:v>61.8</x:v>
      </x:c>
      <x:c r="G155" s="34" t="n">
        <x:v>100</x:v>
      </x:c>
      <x:c r="H155" t="str">
        <x:f>IF(F155="","",IF(F155&gt;=40,"Pass","Fail"))</x:f>
        <x:v>Pass</x:v>
      </x:c>
      <x:c r="I155" t="str">
        <x:f>VLOOKUP(A155,Students!$A$2:$F$31,5,FALSE)</x:f>
        <x:v>12A</x:v>
      </x:c>
      <x:c r="J155" t="n">
        <x:f>SUMIFS(Targets!$C$2:$C$16,Targets!$A$2:$A$16,I155,Targets!$B$2:$B$16,B155)</x:f>
        <x:v>60</x:v>
      </x:c>
      <x:c r="K155" t="str">
        <x:f>IF(F155&gt;=J155,"Yes","No")</x:f>
        <x:v>Yes</x:v>
      </x:c>
    </x:row>
    <x:row r="156">
      <x:c r="A156" t="str">
        <x:v>S016</x:v>
      </x:c>
      <x:c r="B156" t="str">
        <x:v>Computer Science</x:v>
      </x:c>
      <x:c r="C156" t="str">
        <x:v>E101</x:v>
      </x:c>
      <x:c r="D156" t="str">
        <x:v>Midterm</x:v>
      </x:c>
      <x:c r="E156" t="str">
        <x:v>Term 1</x:v>
      </x:c>
      <x:c r="F156" s="34" t="n">
        <x:v>57.1</x:v>
      </x:c>
      <x:c r="G156" s="34" t="n">
        <x:v>100</x:v>
      </x:c>
      <x:c r="H156" t="str">
        <x:f>IF(F156="","",IF(F156&gt;=40,"Pass","Fail"))</x:f>
        <x:v>Pass</x:v>
      </x:c>
      <x:c r="I156" t="str">
        <x:f>VLOOKUP(A156,Students!$A$2:$F$31,5,FALSE)</x:f>
        <x:v>12A</x:v>
      </x:c>
      <x:c r="J156" t="n">
        <x:f>SUMIFS(Targets!$C$2:$C$16,Targets!$A$2:$A$16,I156,Targets!$B$2:$B$16,B156)</x:f>
        <x:v>80</x:v>
      </x:c>
      <x:c r="K156" t="str">
        <x:f>IF(F156&gt;=J156,"Yes","No")</x:f>
        <x:v>No</x:v>
      </x:c>
    </x:row>
    <x:row r="157">
      <x:c r="A157" t="str">
        <x:v>S016</x:v>
      </x:c>
      <x:c r="B157" t="str">
        <x:v>Maths</x:v>
      </x:c>
      <x:c r="C157" t="str">
        <x:v>E102</x:v>
      </x:c>
      <x:c r="D157" t="str">
        <x:v>Final</x:v>
      </x:c>
      <x:c r="E157" t="str">
        <x:v>Term 2</x:v>
      </x:c>
      <x:c r="F157" s="34" t="n">
        <x:v>51.5</x:v>
      </x:c>
      <x:c r="G157" s="34" t="n">
        <x:v>100</x:v>
      </x:c>
      <x:c r="H157" t="str">
        <x:f>IF(F157="","",IF(F157&gt;=40,"Pass","Fail"))</x:f>
        <x:v>Pass</x:v>
      </x:c>
      <x:c r="I157" t="str">
        <x:f>VLOOKUP(A157,Students!$A$2:$F$31,5,FALSE)</x:f>
        <x:v>12A</x:v>
      </x:c>
      <x:c r="J157" t="n">
        <x:f>SUMIFS(Targets!$C$2:$C$16,Targets!$A$2:$A$16,I157,Targets!$B$2:$B$16,B157)</x:f>
        <x:v>70</x:v>
      </x:c>
      <x:c r="K157" t="str">
        <x:f>IF(F157&gt;=J157,"Yes","No")</x:f>
        <x:v>No</x:v>
      </x:c>
    </x:row>
    <x:row r="158">
      <x:c r="A158" t="str">
        <x:v>S016</x:v>
      </x:c>
      <x:c r="B158" t="str">
        <x:v>Physics</x:v>
      </x:c>
      <x:c r="C158" t="str">
        <x:v>E102</x:v>
      </x:c>
      <x:c r="D158" t="str">
        <x:v>Final</x:v>
      </x:c>
      <x:c r="E158" t="str">
        <x:v>Term 2</x:v>
      </x:c>
      <x:c r="F158" s="34" t="n">
        <x:v>66.8</x:v>
      </x:c>
      <x:c r="G158" s="34" t="n">
        <x:v>100</x:v>
      </x:c>
      <x:c r="H158" t="str">
        <x:f>IF(F158="","",IF(F158&gt;=40,"Pass","Fail"))</x:f>
        <x:v>Pass</x:v>
      </x:c>
      <x:c r="I158" t="str">
        <x:f>VLOOKUP(A158,Students!$A$2:$F$31,5,FALSE)</x:f>
        <x:v>12A</x:v>
      </x:c>
      <x:c r="J158" t="n">
        <x:f>SUMIFS(Targets!$C$2:$C$16,Targets!$A$2:$A$16,I158,Targets!$B$2:$B$16,B158)</x:f>
        <x:v>60</x:v>
      </x:c>
      <x:c r="K158" t="str">
        <x:f>IF(F158&gt;=J158,"Yes","No")</x:f>
        <x:v>Yes</x:v>
      </x:c>
    </x:row>
    <x:row r="159">
      <x:c r="A159" t="str">
        <x:v>S016</x:v>
      </x:c>
      <x:c r="B159" t="str">
        <x:v>Chemistry</x:v>
      </x:c>
      <x:c r="C159" t="str">
        <x:v>E102</x:v>
      </x:c>
      <x:c r="D159" t="str">
        <x:v>Final</x:v>
      </x:c>
      <x:c r="E159" t="str">
        <x:v>Term 2</x:v>
      </x:c>
      <x:c r="F159" s="34" t="n">
        <x:v>82.1</x:v>
      </x:c>
      <x:c r="G159" s="34" t="n">
        <x:v>100</x:v>
      </x:c>
      <x:c r="H159" t="str">
        <x:f>IF(F159="","",IF(F159&gt;=40,"Pass","Fail"))</x:f>
        <x:v>Pass</x:v>
      </x:c>
      <x:c r="I159" t="str">
        <x:f>VLOOKUP(A159,Students!$A$2:$F$31,5,FALSE)</x:f>
        <x:v>12A</x:v>
      </x:c>
      <x:c r="J159" t="n">
        <x:f>SUMIFS(Targets!$C$2:$C$16,Targets!$A$2:$A$16,I159,Targets!$B$2:$B$16,B159)</x:f>
        <x:v>60</x:v>
      </x:c>
      <x:c r="K159" t="str">
        <x:f>IF(F159&gt;=J159,"Yes","No")</x:f>
        <x:v>Yes</x:v>
      </x:c>
    </x:row>
    <x:row r="160">
      <x:c r="A160" t="str">
        <x:v>S016</x:v>
      </x:c>
      <x:c r="B160" t="str">
        <x:v>English</x:v>
      </x:c>
      <x:c r="C160" t="str">
        <x:v>E102</x:v>
      </x:c>
      <x:c r="D160" t="str">
        <x:v>Final</x:v>
      </x:c>
      <x:c r="E160" t="str">
        <x:v>Term 2</x:v>
      </x:c>
      <x:c r="F160" s="34" t="n">
        <x:v>62.6</x:v>
      </x:c>
      <x:c r="G160" s="34" t="n">
        <x:v>100</x:v>
      </x:c>
      <x:c r="H160" t="str">
        <x:f>IF(F160="","",IF(F160&gt;=40,"Pass","Fail"))</x:f>
        <x:v>Pass</x:v>
      </x:c>
      <x:c r="I160" t="str">
        <x:f>VLOOKUP(A160,Students!$A$2:$F$31,5,FALSE)</x:f>
        <x:v>12A</x:v>
      </x:c>
      <x:c r="J160" t="n">
        <x:f>SUMIFS(Targets!$C$2:$C$16,Targets!$A$2:$A$16,I160,Targets!$B$2:$B$16,B160)</x:f>
        <x:v>60</x:v>
      </x:c>
      <x:c r="K160" t="str">
        <x:f>IF(F160&gt;=J160,"Yes","No")</x:f>
        <x:v>Yes</x:v>
      </x:c>
    </x:row>
    <x:row r="161">
      <x:c r="A161" t="str">
        <x:v>S016</x:v>
      </x:c>
      <x:c r="B161" t="str">
        <x:v>Computer Science</x:v>
      </x:c>
      <x:c r="C161" t="str">
        <x:v>E102</x:v>
      </x:c>
      <x:c r="D161" t="str">
        <x:v>Final</x:v>
      </x:c>
      <x:c r="E161" t="str">
        <x:v>Term 2</x:v>
      </x:c>
      <x:c r="F161" s="34" t="n">
        <x:v>50.4</x:v>
      </x:c>
      <x:c r="G161" s="34" t="n">
        <x:v>100</x:v>
      </x:c>
      <x:c r="H161" t="str">
        <x:f>IF(F161="","",IF(F161&gt;=40,"Pass","Fail"))</x:f>
        <x:v>Pass</x:v>
      </x:c>
      <x:c r="I161" t="str">
        <x:f>VLOOKUP(A161,Students!$A$2:$F$31,5,FALSE)</x:f>
        <x:v>12A</x:v>
      </x:c>
      <x:c r="J161" t="n">
        <x:f>SUMIFS(Targets!$C$2:$C$16,Targets!$A$2:$A$16,I161,Targets!$B$2:$B$16,B161)</x:f>
        <x:v>80</x:v>
      </x:c>
      <x:c r="K161" t="str">
        <x:f>IF(F161&gt;=J161,"Yes","No")</x:f>
        <x:v>No</x:v>
      </x:c>
    </x:row>
    <x:row r="162">
      <x:c r="A162" t="str">
        <x:v>S017</x:v>
      </x:c>
      <x:c r="B162" t="str">
        <x:v>Maths</x:v>
      </x:c>
      <x:c r="C162" t="str">
        <x:v>E101</x:v>
      </x:c>
      <x:c r="D162" t="str">
        <x:v>Midterm</x:v>
      </x:c>
      <x:c r="E162" t="str">
        <x:v>Term 1</x:v>
      </x:c>
      <x:c r="F162" s="34" t="n">
        <x:v>56.9</x:v>
      </x:c>
      <x:c r="G162" s="34" t="n">
        <x:v>100</x:v>
      </x:c>
      <x:c r="H162" t="str">
        <x:f>IF(F162="","",IF(F162&gt;=40,"Pass","Fail"))</x:f>
        <x:v>Pass</x:v>
      </x:c>
      <x:c r="I162" t="str">
        <x:f>VLOOKUP(A162,Students!$A$2:$F$31,5,FALSE)</x:f>
        <x:v>12B</x:v>
      </x:c>
      <x:c r="J162" t="n">
        <x:f>SUMIFS(Targets!$C$2:$C$16,Targets!$A$2:$A$16,I162,Targets!$B$2:$B$16,B162)</x:f>
        <x:v>75</x:v>
      </x:c>
      <x:c r="K162" t="str">
        <x:f>IF(F162&gt;=J162,"Yes","No")</x:f>
        <x:v>No</x:v>
      </x:c>
    </x:row>
    <x:row r="163">
      <x:c r="A163" t="str">
        <x:v>S017</x:v>
      </x:c>
      <x:c r="B163" t="str">
        <x:v>Physics</x:v>
      </x:c>
      <x:c r="C163" t="str">
        <x:v>E101</x:v>
      </x:c>
      <x:c r="D163" t="str">
        <x:v>Midterm</x:v>
      </x:c>
      <x:c r="E163" t="str">
        <x:v>Term 1</x:v>
      </x:c>
      <x:c r="F163" s="34" t="n">
        <x:v>58.4</x:v>
      </x:c>
      <x:c r="G163" s="34" t="n">
        <x:v>100</x:v>
      </x:c>
      <x:c r="H163" t="str">
        <x:f>IF(F163="","",IF(F163&gt;=40,"Pass","Fail"))</x:f>
        <x:v>Pass</x:v>
      </x:c>
      <x:c r="I163" t="str">
        <x:f>VLOOKUP(A163,Students!$A$2:$F$31,5,FALSE)</x:f>
        <x:v>12B</x:v>
      </x:c>
      <x:c r="J163" t="n">
        <x:f>SUMIFS(Targets!$C$2:$C$16,Targets!$A$2:$A$16,I163,Targets!$B$2:$B$16,B163)</x:f>
        <x:v>80</x:v>
      </x:c>
      <x:c r="K163" t="str">
        <x:f>IF(F163&gt;=J163,"Yes","No")</x:f>
        <x:v>No</x:v>
      </x:c>
    </x:row>
    <x:row r="164">
      <x:c r="A164" t="str">
        <x:v>S017</x:v>
      </x:c>
      <x:c r="B164" t="str">
        <x:v>Chemistry</x:v>
      </x:c>
      <x:c r="C164" t="str">
        <x:v>E101</x:v>
      </x:c>
      <x:c r="D164" t="str">
        <x:v>Midterm</x:v>
      </x:c>
      <x:c r="E164" t="str">
        <x:v>Term 1</x:v>
      </x:c>
      <x:c r="F164" s="34" t="n">
        <x:v>77.2</x:v>
      </x:c>
      <x:c r="G164" s="34" t="n">
        <x:v>100</x:v>
      </x:c>
      <x:c r="H164" t="str">
        <x:f>IF(F164="","",IF(F164&gt;=40,"Pass","Fail"))</x:f>
        <x:v>Pass</x:v>
      </x:c>
      <x:c r="I164" t="str">
        <x:f>VLOOKUP(A164,Students!$A$2:$F$31,5,FALSE)</x:f>
        <x:v>12B</x:v>
      </x:c>
      <x:c r="J164" t="n">
        <x:f>SUMIFS(Targets!$C$2:$C$16,Targets!$A$2:$A$16,I164,Targets!$B$2:$B$16,B164)</x:f>
        <x:v>75</x:v>
      </x:c>
      <x:c r="K164" t="str">
        <x:f>IF(F164&gt;=J164,"Yes","No")</x:f>
        <x:v>Yes</x:v>
      </x:c>
    </x:row>
    <x:row r="165">
      <x:c r="A165" t="str">
        <x:v>S017</x:v>
      </x:c>
      <x:c r="B165" t="str">
        <x:v>English</x:v>
      </x:c>
      <x:c r="C165" t="str">
        <x:v>E101</x:v>
      </x:c>
      <x:c r="D165" t="str">
        <x:v>Midterm</x:v>
      </x:c>
      <x:c r="E165" t="str">
        <x:v>Term 1</x:v>
      </x:c>
      <x:c r="F165" s="34" t="n">
        <x:v>75.6</x:v>
      </x:c>
      <x:c r="G165" s="34" t="n">
        <x:v>100</x:v>
      </x:c>
      <x:c r="H165" t="str">
        <x:f>IF(F165="","",IF(F165&gt;=40,"Pass","Fail"))</x:f>
        <x:v>Pass</x:v>
      </x:c>
      <x:c r="I165" t="str">
        <x:f>VLOOKUP(A165,Students!$A$2:$F$31,5,FALSE)</x:f>
        <x:v>12B</x:v>
      </x:c>
      <x:c r="J165" t="n">
        <x:f>SUMIFS(Targets!$C$2:$C$16,Targets!$A$2:$A$16,I165,Targets!$B$2:$B$16,B165)</x:f>
        <x:v>80</x:v>
      </x:c>
      <x:c r="K165" t="str">
        <x:f>IF(F165&gt;=J165,"Yes","No")</x:f>
        <x:v>No</x:v>
      </x:c>
    </x:row>
    <x:row r="166">
      <x:c r="A166" t="str">
        <x:v>S017</x:v>
      </x:c>
      <x:c r="B166" t="str">
        <x:v>Computer Science</x:v>
      </x:c>
      <x:c r="C166" t="str">
        <x:v>E101</x:v>
      </x:c>
      <x:c r="D166" t="str">
        <x:v>Midterm</x:v>
      </x:c>
      <x:c r="E166" t="str">
        <x:v>Term 1</x:v>
      </x:c>
      <x:c r="F166" s="34" t="n">
        <x:v>68.4</x:v>
      </x:c>
      <x:c r="G166" s="34" t="n">
        <x:v>100</x:v>
      </x:c>
      <x:c r="H166" t="str">
        <x:f>IF(F166="","",IF(F166&gt;=40,"Pass","Fail"))</x:f>
        <x:v>Pass</x:v>
      </x:c>
      <x:c r="I166" t="str">
        <x:f>VLOOKUP(A166,Students!$A$2:$F$31,5,FALSE)</x:f>
        <x:v>12B</x:v>
      </x:c>
      <x:c r="J166" t="n">
        <x:f>SUMIFS(Targets!$C$2:$C$16,Targets!$A$2:$A$16,I166,Targets!$B$2:$B$16,B166)</x:f>
        <x:v>80</x:v>
      </x:c>
      <x:c r="K166" t="str">
        <x:f>IF(F166&gt;=J166,"Yes","No")</x:f>
        <x:v>No</x:v>
      </x:c>
    </x:row>
    <x:row r="167">
      <x:c r="A167" t="str">
        <x:v>S017</x:v>
      </x:c>
      <x:c r="B167" t="str">
        <x:v>Maths</x:v>
      </x:c>
      <x:c r="C167" t="str">
        <x:v>E102</x:v>
      </x:c>
      <x:c r="D167" t="str">
        <x:v>Final</x:v>
      </x:c>
      <x:c r="E167" t="str">
        <x:v>Term 2</x:v>
      </x:c>
      <x:c r="F167" s="34" t="n">
        <x:v>71.9</x:v>
      </x:c>
      <x:c r="G167" s="34" t="n">
        <x:v>100</x:v>
      </x:c>
      <x:c r="H167" t="str">
        <x:f>IF(F167="","",IF(F167&gt;=40,"Pass","Fail"))</x:f>
        <x:v>Pass</x:v>
      </x:c>
      <x:c r="I167" t="str">
        <x:f>VLOOKUP(A167,Students!$A$2:$F$31,5,FALSE)</x:f>
        <x:v>12B</x:v>
      </x:c>
      <x:c r="J167" t="n">
        <x:f>SUMIFS(Targets!$C$2:$C$16,Targets!$A$2:$A$16,I167,Targets!$B$2:$B$16,B167)</x:f>
        <x:v>75</x:v>
      </x:c>
      <x:c r="K167" t="str">
        <x:f>IF(F167&gt;=J167,"Yes","No")</x:f>
        <x:v>No</x:v>
      </x:c>
    </x:row>
    <x:row r="168">
      <x:c r="A168" t="str">
        <x:v>S017</x:v>
      </x:c>
      <x:c r="B168" t="str">
        <x:v>Physics</x:v>
      </x:c>
      <x:c r="C168" t="str">
        <x:v>E102</x:v>
      </x:c>
      <x:c r="D168" t="str">
        <x:v>Final</x:v>
      </x:c>
      <x:c r="E168" t="str">
        <x:v>Term 2</x:v>
      </x:c>
      <x:c r="F168" s="34" t="n">
        <x:v>66.2</x:v>
      </x:c>
      <x:c r="G168" s="34" t="n">
        <x:v>100</x:v>
      </x:c>
      <x:c r="H168" t="str">
        <x:f>IF(F168="","",IF(F168&gt;=40,"Pass","Fail"))</x:f>
        <x:v>Pass</x:v>
      </x:c>
      <x:c r="I168" t="str">
        <x:f>VLOOKUP(A168,Students!$A$2:$F$31,5,FALSE)</x:f>
        <x:v>12B</x:v>
      </x:c>
      <x:c r="J168" t="n">
        <x:f>SUMIFS(Targets!$C$2:$C$16,Targets!$A$2:$A$16,I168,Targets!$B$2:$B$16,B168)</x:f>
        <x:v>80</x:v>
      </x:c>
      <x:c r="K168" t="str">
        <x:f>IF(F168&gt;=J168,"Yes","No")</x:f>
        <x:v>No</x:v>
      </x:c>
    </x:row>
    <x:row r="169">
      <x:c r="A169" t="str">
        <x:v>S017</x:v>
      </x:c>
      <x:c r="B169" t="str">
        <x:v>Chemistry</x:v>
      </x:c>
      <x:c r="C169" t="str">
        <x:v>E102</x:v>
      </x:c>
      <x:c r="D169" t="str">
        <x:v>Final</x:v>
      </x:c>
      <x:c r="E169" t="str">
        <x:v>Term 2</x:v>
      </x:c>
      <x:c r="F169" s="34" t="n">
        <x:v>91.1</x:v>
      </x:c>
      <x:c r="G169" s="34" t="n">
        <x:v>100</x:v>
      </x:c>
      <x:c r="H169" t="str">
        <x:f>IF(F169="","",IF(F169&gt;=40,"Pass","Fail"))</x:f>
        <x:v>Pass</x:v>
      </x:c>
      <x:c r="I169" t="str">
        <x:f>VLOOKUP(A169,Students!$A$2:$F$31,5,FALSE)</x:f>
        <x:v>12B</x:v>
      </x:c>
      <x:c r="J169" t="n">
        <x:f>SUMIFS(Targets!$C$2:$C$16,Targets!$A$2:$A$16,I169,Targets!$B$2:$B$16,B169)</x:f>
        <x:v>75</x:v>
      </x:c>
      <x:c r="K169" t="str">
        <x:f>IF(F169&gt;=J169,"Yes","No")</x:f>
        <x:v>Yes</x:v>
      </x:c>
    </x:row>
    <x:row r="170">
      <x:c r="A170" t="str">
        <x:v>S017</x:v>
      </x:c>
      <x:c r="B170" t="str">
        <x:v>English</x:v>
      </x:c>
      <x:c r="C170" t="str">
        <x:v>E102</x:v>
      </x:c>
      <x:c r="D170" t="str">
        <x:v>Final</x:v>
      </x:c>
      <x:c r="E170" t="str">
        <x:v>Term 2</x:v>
      </x:c>
      <x:c r="F170" s="34" t="n">
        <x:v>70.5</x:v>
      </x:c>
      <x:c r="G170" s="34" t="n">
        <x:v>100</x:v>
      </x:c>
      <x:c r="H170" t="str">
        <x:f>IF(F170="","",IF(F170&gt;=40,"Pass","Fail"))</x:f>
        <x:v>Pass</x:v>
      </x:c>
      <x:c r="I170" t="str">
        <x:f>VLOOKUP(A170,Students!$A$2:$F$31,5,FALSE)</x:f>
        <x:v>12B</x:v>
      </x:c>
      <x:c r="J170" t="n">
        <x:f>SUMIFS(Targets!$C$2:$C$16,Targets!$A$2:$A$16,I170,Targets!$B$2:$B$16,B170)</x:f>
        <x:v>80</x:v>
      </x:c>
      <x:c r="K170" t="str">
        <x:f>IF(F170&gt;=J170,"Yes","No")</x:f>
        <x:v>No</x:v>
      </x:c>
    </x:row>
    <x:row r="171">
      <x:c r="A171" t="str">
        <x:v>S017</x:v>
      </x:c>
      <x:c r="B171" t="str">
        <x:v>Computer Science</x:v>
      </x:c>
      <x:c r="C171" t="str">
        <x:v>E102</x:v>
      </x:c>
      <x:c r="D171" t="str">
        <x:v>Final</x:v>
      </x:c>
      <x:c r="E171" t="str">
        <x:v>Term 2</x:v>
      </x:c>
      <x:c r="F171" s="34" t="n">
        <x:v>66.1</x:v>
      </x:c>
      <x:c r="G171" s="34" t="n">
        <x:v>100</x:v>
      </x:c>
      <x:c r="H171" t="str">
        <x:f>IF(F171="","",IF(F171&gt;=40,"Pass","Fail"))</x:f>
        <x:v>Pass</x:v>
      </x:c>
      <x:c r="I171" t="str">
        <x:f>VLOOKUP(A171,Students!$A$2:$F$31,5,FALSE)</x:f>
        <x:v>12B</x:v>
      </x:c>
      <x:c r="J171" t="n">
        <x:f>SUMIFS(Targets!$C$2:$C$16,Targets!$A$2:$A$16,I171,Targets!$B$2:$B$16,B171)</x:f>
        <x:v>80</x:v>
      </x:c>
      <x:c r="K171" t="str">
        <x:f>IF(F171&gt;=J171,"Yes","No")</x:f>
        <x:v>No</x:v>
      </x:c>
    </x:row>
    <x:row r="172">
      <x:c r="A172" t="str">
        <x:v>S018</x:v>
      </x:c>
      <x:c r="B172" t="str">
        <x:v>Maths</x:v>
      </x:c>
      <x:c r="C172" t="str">
        <x:v>E101</x:v>
      </x:c>
      <x:c r="D172" t="str">
        <x:v>Midterm</x:v>
      </x:c>
      <x:c r="E172" t="str">
        <x:v>Term 1</x:v>
      </x:c>
      <x:c r="F172" s="34" t="n">
        <x:v>58.2</x:v>
      </x:c>
      <x:c r="G172" s="34" t="n">
        <x:v>100</x:v>
      </x:c>
      <x:c r="H172" t="str">
        <x:f>IF(F172="","",IF(F172&gt;=40,"Pass","Fail"))</x:f>
        <x:v>Pass</x:v>
      </x:c>
      <x:c r="I172" t="str">
        <x:f>VLOOKUP(A172,Students!$A$2:$F$31,5,FALSE)</x:f>
        <x:v>12A</x:v>
      </x:c>
      <x:c r="J172" t="n">
        <x:f>SUMIFS(Targets!$C$2:$C$16,Targets!$A$2:$A$16,I172,Targets!$B$2:$B$16,B172)</x:f>
        <x:v>70</x:v>
      </x:c>
      <x:c r="K172" t="str">
        <x:f>IF(F172&gt;=J172,"Yes","No")</x:f>
        <x:v>No</x:v>
      </x:c>
    </x:row>
    <x:row r="173">
      <x:c r="A173" t="str">
        <x:v>S018</x:v>
      </x:c>
      <x:c r="B173" t="str">
        <x:v>Physics</x:v>
      </x:c>
      <x:c r="C173" t="str">
        <x:v>E101</x:v>
      </x:c>
      <x:c r="D173" t="str">
        <x:v>Midterm</x:v>
      </x:c>
      <x:c r="E173" t="str">
        <x:v>Term 1</x:v>
      </x:c>
      <x:c r="F173" s="34" t="n">
        <x:v>67.3</x:v>
      </x:c>
      <x:c r="G173" s="34" t="n">
        <x:v>100</x:v>
      </x:c>
      <x:c r="H173" t="str">
        <x:f>IF(F173="","",IF(F173&gt;=40,"Pass","Fail"))</x:f>
        <x:v>Pass</x:v>
      </x:c>
      <x:c r="I173" t="str">
        <x:f>VLOOKUP(A173,Students!$A$2:$F$31,5,FALSE)</x:f>
        <x:v>12A</x:v>
      </x:c>
      <x:c r="J173" t="n">
        <x:f>SUMIFS(Targets!$C$2:$C$16,Targets!$A$2:$A$16,I173,Targets!$B$2:$B$16,B173)</x:f>
        <x:v>60</x:v>
      </x:c>
      <x:c r="K173" t="str">
        <x:f>IF(F173&gt;=J173,"Yes","No")</x:f>
        <x:v>Yes</x:v>
      </x:c>
    </x:row>
    <x:row r="174">
      <x:c r="A174" t="str">
        <x:v>S018</x:v>
      </x:c>
      <x:c r="B174" t="str">
        <x:v>Chemistry</x:v>
      </x:c>
      <x:c r="C174" t="str">
        <x:v>E101</x:v>
      </x:c>
      <x:c r="D174" t="str">
        <x:v>Midterm</x:v>
      </x:c>
      <x:c r="E174" t="str">
        <x:v>Term 1</x:v>
      </x:c>
      <x:c r="F174" s="34" t="n">
        <x:v>43.4</x:v>
      </x:c>
      <x:c r="G174" s="34" t="n">
        <x:v>100</x:v>
      </x:c>
      <x:c r="H174" t="str">
        <x:f>IF(F174="","",IF(F174&gt;=40,"Pass","Fail"))</x:f>
        <x:v>Pass</x:v>
      </x:c>
      <x:c r="I174" t="str">
        <x:f>VLOOKUP(A174,Students!$A$2:$F$31,5,FALSE)</x:f>
        <x:v>12A</x:v>
      </x:c>
      <x:c r="J174" t="n">
        <x:f>SUMIFS(Targets!$C$2:$C$16,Targets!$A$2:$A$16,I174,Targets!$B$2:$B$16,B174)</x:f>
        <x:v>60</x:v>
      </x:c>
      <x:c r="K174" t="str">
        <x:f>IF(F174&gt;=J174,"Yes","No")</x:f>
        <x:v>No</x:v>
      </x:c>
    </x:row>
    <x:row r="175">
      <x:c r="A175" t="str">
        <x:v>S018</x:v>
      </x:c>
      <x:c r="B175" t="str">
        <x:v>English</x:v>
      </x:c>
      <x:c r="C175" t="str">
        <x:v>E101</x:v>
      </x:c>
      <x:c r="D175" t="str">
        <x:v>Midterm</x:v>
      </x:c>
      <x:c r="E175" t="str">
        <x:v>Term 1</x:v>
      </x:c>
      <x:c r="F175" s="34" t="n">
        <x:v>72.6</x:v>
      </x:c>
      <x:c r="G175" s="34" t="n">
        <x:v>100</x:v>
      </x:c>
      <x:c r="H175" t="str">
        <x:f>IF(F175="","",IF(F175&gt;=40,"Pass","Fail"))</x:f>
        <x:v>Pass</x:v>
      </x:c>
      <x:c r="I175" t="str">
        <x:f>VLOOKUP(A175,Students!$A$2:$F$31,5,FALSE)</x:f>
        <x:v>12A</x:v>
      </x:c>
      <x:c r="J175" t="n">
        <x:f>SUMIFS(Targets!$C$2:$C$16,Targets!$A$2:$A$16,I175,Targets!$B$2:$B$16,B175)</x:f>
        <x:v>60</x:v>
      </x:c>
      <x:c r="K175" t="str">
        <x:f>IF(F175&gt;=J175,"Yes","No")</x:f>
        <x:v>Yes</x:v>
      </x:c>
    </x:row>
    <x:row r="176">
      <x:c r="A176" t="str">
        <x:v>S018</x:v>
      </x:c>
      <x:c r="B176" t="str">
        <x:v>Computer Science</x:v>
      </x:c>
      <x:c r="C176" t="str">
        <x:v>E101</x:v>
      </x:c>
      <x:c r="D176" t="str">
        <x:v>Midterm</x:v>
      </x:c>
      <x:c r="E176" t="str">
        <x:v>Term 1</x:v>
      </x:c>
      <x:c r="F176" s="34" t="n">
        <x:v>60.9</x:v>
      </x:c>
      <x:c r="G176" s="34" t="n">
        <x:v>100</x:v>
      </x:c>
      <x:c r="H176" t="str">
        <x:f>IF(F176="","",IF(F176&gt;=40,"Pass","Fail"))</x:f>
        <x:v>Pass</x:v>
      </x:c>
      <x:c r="I176" t="str">
        <x:f>VLOOKUP(A176,Students!$A$2:$F$31,5,FALSE)</x:f>
        <x:v>12A</x:v>
      </x:c>
      <x:c r="J176" t="n">
        <x:f>SUMIFS(Targets!$C$2:$C$16,Targets!$A$2:$A$16,I176,Targets!$B$2:$B$16,B176)</x:f>
        <x:v>80</x:v>
      </x:c>
      <x:c r="K176" t="str">
        <x:f>IF(F176&gt;=J176,"Yes","No")</x:f>
        <x:v>No</x:v>
      </x:c>
    </x:row>
    <x:row r="177">
      <x:c r="A177" t="str">
        <x:v>S018</x:v>
      </x:c>
      <x:c r="B177" t="str">
        <x:v>Maths</x:v>
      </x:c>
      <x:c r="C177" t="str">
        <x:v>E102</x:v>
      </x:c>
      <x:c r="D177" t="str">
        <x:v>Final</x:v>
      </x:c>
      <x:c r="E177" t="str">
        <x:v>Term 2</x:v>
      </x:c>
      <x:c r="F177" s="34" t="n">
        <x:v>70.1</x:v>
      </x:c>
      <x:c r="G177" s="34" t="n">
        <x:v>100</x:v>
      </x:c>
      <x:c r="H177" t="str">
        <x:f>IF(F177="","",IF(F177&gt;=40,"Pass","Fail"))</x:f>
        <x:v>Pass</x:v>
      </x:c>
      <x:c r="I177" t="str">
        <x:f>VLOOKUP(A177,Students!$A$2:$F$31,5,FALSE)</x:f>
        <x:v>12A</x:v>
      </x:c>
      <x:c r="J177" t="n">
        <x:f>SUMIFS(Targets!$C$2:$C$16,Targets!$A$2:$A$16,I177,Targets!$B$2:$B$16,B177)</x:f>
        <x:v>70</x:v>
      </x:c>
      <x:c r="K177" t="str">
        <x:f>IF(F177&gt;=J177,"Yes","No")</x:f>
        <x:v>Yes</x:v>
      </x:c>
    </x:row>
    <x:row r="178">
      <x:c r="A178" t="str">
        <x:v>S018</x:v>
      </x:c>
      <x:c r="B178" t="str">
        <x:v>Physics</x:v>
      </x:c>
      <x:c r="C178" t="str">
        <x:v>E102</x:v>
      </x:c>
      <x:c r="D178" t="str">
        <x:v>Final</x:v>
      </x:c>
      <x:c r="E178" t="str">
        <x:v>Term 2</x:v>
      </x:c>
      <x:c r="F178" s="34" t="n">
        <x:v>60.9</x:v>
      </x:c>
      <x:c r="G178" s="34" t="n">
        <x:v>100</x:v>
      </x:c>
      <x:c r="H178" t="str">
        <x:f>IF(F178="","",IF(F178&gt;=40,"Pass","Fail"))</x:f>
        <x:v>Pass</x:v>
      </x:c>
      <x:c r="I178" t="str">
        <x:f>VLOOKUP(A178,Students!$A$2:$F$31,5,FALSE)</x:f>
        <x:v>12A</x:v>
      </x:c>
      <x:c r="J178" t="n">
        <x:f>SUMIFS(Targets!$C$2:$C$16,Targets!$A$2:$A$16,I178,Targets!$B$2:$B$16,B178)</x:f>
        <x:v>60</x:v>
      </x:c>
      <x:c r="K178" t="str">
        <x:f>IF(F178&gt;=J178,"Yes","No")</x:f>
        <x:v>Yes</x:v>
      </x:c>
    </x:row>
    <x:row r="179">
      <x:c r="A179" t="str">
        <x:v>S018</x:v>
      </x:c>
      <x:c r="B179" t="str">
        <x:v>Chemistry</x:v>
      </x:c>
      <x:c r="C179" t="str">
        <x:v>E102</x:v>
      </x:c>
      <x:c r="D179" t="str">
        <x:v>Final</x:v>
      </x:c>
      <x:c r="E179" t="str">
        <x:v>Term 2</x:v>
      </x:c>
      <x:c r="F179" s="34" t="n">
        <x:v>68.5</x:v>
      </x:c>
      <x:c r="G179" s="34" t="n">
        <x:v>100</x:v>
      </x:c>
      <x:c r="H179" t="str">
        <x:f>IF(F179="","",IF(F179&gt;=40,"Pass","Fail"))</x:f>
        <x:v>Pass</x:v>
      </x:c>
      <x:c r="I179" t="str">
        <x:f>VLOOKUP(A179,Students!$A$2:$F$31,5,FALSE)</x:f>
        <x:v>12A</x:v>
      </x:c>
      <x:c r="J179" t="n">
        <x:f>SUMIFS(Targets!$C$2:$C$16,Targets!$A$2:$A$16,I179,Targets!$B$2:$B$16,B179)</x:f>
        <x:v>60</x:v>
      </x:c>
      <x:c r="K179" t="str">
        <x:f>IF(F179&gt;=J179,"Yes","No")</x:f>
        <x:v>Yes</x:v>
      </x:c>
    </x:row>
    <x:row r="180">
      <x:c r="A180" t="str">
        <x:v>S018</x:v>
      </x:c>
      <x:c r="B180" t="str">
        <x:v>English</x:v>
      </x:c>
      <x:c r="C180" t="str">
        <x:v>E102</x:v>
      </x:c>
      <x:c r="D180" t="str">
        <x:v>Final</x:v>
      </x:c>
      <x:c r="E180" t="str">
        <x:v>Term 2</x:v>
      </x:c>
      <x:c r="F180" s="34" t="n">
        <x:v>64.4</x:v>
      </x:c>
      <x:c r="G180" s="34" t="n">
        <x:v>100</x:v>
      </x:c>
      <x:c r="H180" t="str">
        <x:f>IF(F180="","",IF(F180&gt;=40,"Pass","Fail"))</x:f>
        <x:v>Pass</x:v>
      </x:c>
      <x:c r="I180" t="str">
        <x:f>VLOOKUP(A180,Students!$A$2:$F$31,5,FALSE)</x:f>
        <x:v>12A</x:v>
      </x:c>
      <x:c r="J180" t="n">
        <x:f>SUMIFS(Targets!$C$2:$C$16,Targets!$A$2:$A$16,I180,Targets!$B$2:$B$16,B180)</x:f>
        <x:v>60</x:v>
      </x:c>
      <x:c r="K180" t="str">
        <x:f>IF(F180&gt;=J180,"Yes","No")</x:f>
        <x:v>Yes</x:v>
      </x:c>
    </x:row>
    <x:row r="181">
      <x:c r="A181" t="str">
        <x:v>S018</x:v>
      </x:c>
      <x:c r="B181" t="str">
        <x:v>Computer Science</x:v>
      </x:c>
      <x:c r="C181" t="str">
        <x:v>E102</x:v>
      </x:c>
      <x:c r="D181" t="str">
        <x:v>Final</x:v>
      </x:c>
      <x:c r="E181" t="str">
        <x:v>Term 2</x:v>
      </x:c>
      <x:c r="F181" s="34" t="n">
        <x:v>70.7</x:v>
      </x:c>
      <x:c r="G181" s="34" t="n">
        <x:v>100</x:v>
      </x:c>
      <x:c r="H181" t="str">
        <x:f>IF(F181="","",IF(F181&gt;=40,"Pass","Fail"))</x:f>
        <x:v>Pass</x:v>
      </x:c>
      <x:c r="I181" t="str">
        <x:f>VLOOKUP(A181,Students!$A$2:$F$31,5,FALSE)</x:f>
        <x:v>12A</x:v>
      </x:c>
      <x:c r="J181" t="n">
        <x:f>SUMIFS(Targets!$C$2:$C$16,Targets!$A$2:$A$16,I181,Targets!$B$2:$B$16,B181)</x:f>
        <x:v>80</x:v>
      </x:c>
      <x:c r="K181" t="str">
        <x:f>IF(F181&gt;=J181,"Yes","No")</x:f>
        <x:v>No</x:v>
      </x:c>
    </x:row>
    <x:row r="182">
      <x:c r="A182" t="str">
        <x:v>S019</x:v>
      </x:c>
      <x:c r="B182" t="str">
        <x:v>Maths</x:v>
      </x:c>
      <x:c r="C182" t="str">
        <x:v>E101</x:v>
      </x:c>
      <x:c r="D182" t="str">
        <x:v>Midterm</x:v>
      </x:c>
      <x:c r="E182" t="str">
        <x:v>Term 1</x:v>
      </x:c>
      <x:c r="F182" s="34" t="n">
        <x:v>71.9</x:v>
      </x:c>
      <x:c r="G182" s="34" t="n">
        <x:v>100</x:v>
      </x:c>
      <x:c r="H182" t="str">
        <x:f>IF(F182="","",IF(F182&gt;=40,"Pass","Fail"))</x:f>
        <x:v>Pass</x:v>
      </x:c>
      <x:c r="I182" t="str">
        <x:f>VLOOKUP(A182,Students!$A$2:$F$31,5,FALSE)</x:f>
        <x:v>12A</x:v>
      </x:c>
      <x:c r="J182" t="n">
        <x:f>SUMIFS(Targets!$C$2:$C$16,Targets!$A$2:$A$16,I182,Targets!$B$2:$B$16,B182)</x:f>
        <x:v>70</x:v>
      </x:c>
      <x:c r="K182" t="str">
        <x:f>IF(F182&gt;=J182,"Yes","No")</x:f>
        <x:v>Yes</x:v>
      </x:c>
    </x:row>
    <x:row r="183">
      <x:c r="A183" t="str">
        <x:v>S019</x:v>
      </x:c>
      <x:c r="B183" t="str">
        <x:v>Physics</x:v>
      </x:c>
      <x:c r="C183" t="str">
        <x:v>E101</x:v>
      </x:c>
      <x:c r="D183" t="str">
        <x:v>Midterm</x:v>
      </x:c>
      <x:c r="E183" t="str">
        <x:v>Term 1</x:v>
      </x:c>
      <x:c r="F183" s="34" t="n">
        <x:v>77.2</x:v>
      </x:c>
      <x:c r="G183" s="34" t="n">
        <x:v>100</x:v>
      </x:c>
      <x:c r="H183" t="str">
        <x:f>IF(F183="","",IF(F183&gt;=40,"Pass","Fail"))</x:f>
        <x:v>Pass</x:v>
      </x:c>
      <x:c r="I183" t="str">
        <x:f>VLOOKUP(A183,Students!$A$2:$F$31,5,FALSE)</x:f>
        <x:v>12A</x:v>
      </x:c>
      <x:c r="J183" t="n">
        <x:f>SUMIFS(Targets!$C$2:$C$16,Targets!$A$2:$A$16,I183,Targets!$B$2:$B$16,B183)</x:f>
        <x:v>60</x:v>
      </x:c>
      <x:c r="K183" t="str">
        <x:f>IF(F183&gt;=J183,"Yes","No")</x:f>
        <x:v>Yes</x:v>
      </x:c>
    </x:row>
    <x:row r="184">
      <x:c r="A184" t="str">
        <x:v>S019</x:v>
      </x:c>
      <x:c r="B184" t="str">
        <x:v>Chemistry</x:v>
      </x:c>
      <x:c r="C184" t="str">
        <x:v>E101</x:v>
      </x:c>
      <x:c r="D184" t="str">
        <x:v>Midterm</x:v>
      </x:c>
      <x:c r="E184" t="str">
        <x:v>Term 1</x:v>
      </x:c>
      <x:c r="F184" s="34" t="n">
        <x:v>75.4</x:v>
      </x:c>
      <x:c r="G184" s="34" t="n">
        <x:v>100</x:v>
      </x:c>
      <x:c r="H184" t="str">
        <x:f>IF(F184="","",IF(F184&gt;=40,"Pass","Fail"))</x:f>
        <x:v>Pass</x:v>
      </x:c>
      <x:c r="I184" t="str">
        <x:f>VLOOKUP(A184,Students!$A$2:$F$31,5,FALSE)</x:f>
        <x:v>12A</x:v>
      </x:c>
      <x:c r="J184" t="n">
        <x:f>SUMIFS(Targets!$C$2:$C$16,Targets!$A$2:$A$16,I184,Targets!$B$2:$B$16,B184)</x:f>
        <x:v>60</x:v>
      </x:c>
      <x:c r="K184" t="str">
        <x:f>IF(F184&gt;=J184,"Yes","No")</x:f>
        <x:v>Yes</x:v>
      </x:c>
    </x:row>
    <x:row r="185">
      <x:c r="A185" t="str">
        <x:v>S019</x:v>
      </x:c>
      <x:c r="B185" t="str">
        <x:v>English</x:v>
      </x:c>
      <x:c r="C185" t="str">
        <x:v>E101</x:v>
      </x:c>
      <x:c r="D185" t="str">
        <x:v>Midterm</x:v>
      </x:c>
      <x:c r="E185" t="str">
        <x:v>Term 1</x:v>
      </x:c>
      <x:c r="F185" s="34" t="n">
        <x:v>100</x:v>
      </x:c>
      <x:c r="G185" s="34" t="n">
        <x:v>100</x:v>
      </x:c>
      <x:c r="H185" t="str">
        <x:f>IF(F185="","",IF(F185&gt;=40,"Pass","Fail"))</x:f>
        <x:v>Pass</x:v>
      </x:c>
      <x:c r="I185" t="str">
        <x:f>VLOOKUP(A185,Students!$A$2:$F$31,5,FALSE)</x:f>
        <x:v>12A</x:v>
      </x:c>
      <x:c r="J185" t="n">
        <x:f>SUMIFS(Targets!$C$2:$C$16,Targets!$A$2:$A$16,I185,Targets!$B$2:$B$16,B185)</x:f>
        <x:v>60</x:v>
      </x:c>
      <x:c r="K185" t="str">
        <x:f>IF(F185&gt;=J185,"Yes","No")</x:f>
        <x:v>Yes</x:v>
      </x:c>
    </x:row>
    <x:row r="186">
      <x:c r="A186" t="str">
        <x:v>S019</x:v>
      </x:c>
      <x:c r="B186" t="str">
        <x:v>Computer Science</x:v>
      </x:c>
      <x:c r="C186" t="str">
        <x:v>E101</x:v>
      </x:c>
      <x:c r="D186" t="str">
        <x:v>Midterm</x:v>
      </x:c>
      <x:c r="E186" t="str">
        <x:v>Term 1</x:v>
      </x:c>
      <x:c r="F186" s="34" t="n">
        <x:v>79</x:v>
      </x:c>
      <x:c r="G186" s="34" t="n">
        <x:v>100</x:v>
      </x:c>
      <x:c r="H186" t="str">
        <x:f>IF(F186="","",IF(F186&gt;=40,"Pass","Fail"))</x:f>
        <x:v>Pass</x:v>
      </x:c>
      <x:c r="I186" t="str">
        <x:f>VLOOKUP(A186,Students!$A$2:$F$31,5,FALSE)</x:f>
        <x:v>12A</x:v>
      </x:c>
      <x:c r="J186" t="n">
        <x:f>SUMIFS(Targets!$C$2:$C$16,Targets!$A$2:$A$16,I186,Targets!$B$2:$B$16,B186)</x:f>
        <x:v>80</x:v>
      </x:c>
      <x:c r="K186" t="str">
        <x:f>IF(F186&gt;=J186,"Yes","No")</x:f>
        <x:v>No</x:v>
      </x:c>
    </x:row>
    <x:row r="187">
      <x:c r="A187" t="str">
        <x:v>S019</x:v>
      </x:c>
      <x:c r="B187" t="str">
        <x:v>Maths</x:v>
      </x:c>
      <x:c r="C187" t="str">
        <x:v>E102</x:v>
      </x:c>
      <x:c r="D187" t="str">
        <x:v>Final</x:v>
      </x:c>
      <x:c r="E187" t="str">
        <x:v>Term 2</x:v>
      </x:c>
      <x:c r="F187" s="34" t="n">
        <x:v>72</x:v>
      </x:c>
      <x:c r="G187" s="34" t="n">
        <x:v>100</x:v>
      </x:c>
      <x:c r="H187" t="str">
        <x:f>IF(F187="","",IF(F187&gt;=40,"Pass","Fail"))</x:f>
        <x:v>Pass</x:v>
      </x:c>
      <x:c r="I187" t="str">
        <x:f>VLOOKUP(A187,Students!$A$2:$F$31,5,FALSE)</x:f>
        <x:v>12A</x:v>
      </x:c>
      <x:c r="J187" t="n">
        <x:f>SUMIFS(Targets!$C$2:$C$16,Targets!$A$2:$A$16,I187,Targets!$B$2:$B$16,B187)</x:f>
        <x:v>70</x:v>
      </x:c>
      <x:c r="K187" t="str">
        <x:f>IF(F187&gt;=J187,"Yes","No")</x:f>
        <x:v>Yes</x:v>
      </x:c>
    </x:row>
    <x:row r="188">
      <x:c r="A188" t="str">
        <x:v>S019</x:v>
      </x:c>
      <x:c r="B188" t="str">
        <x:v>Physics</x:v>
      </x:c>
      <x:c r="C188" t="str">
        <x:v>E102</x:v>
      </x:c>
      <x:c r="D188" t="str">
        <x:v>Final</x:v>
      </x:c>
      <x:c r="E188" t="str">
        <x:v>Term 2</x:v>
      </x:c>
      <x:c r="F188" s="34" t="n">
        <x:v>72.5</x:v>
      </x:c>
      <x:c r="G188" s="34" t="n">
        <x:v>100</x:v>
      </x:c>
      <x:c r="H188" t="str">
        <x:f>IF(F188="","",IF(F188&gt;=40,"Pass","Fail"))</x:f>
        <x:v>Pass</x:v>
      </x:c>
      <x:c r="I188" t="str">
        <x:f>VLOOKUP(A188,Students!$A$2:$F$31,5,FALSE)</x:f>
        <x:v>12A</x:v>
      </x:c>
      <x:c r="J188" t="n">
        <x:f>SUMIFS(Targets!$C$2:$C$16,Targets!$A$2:$A$16,I188,Targets!$B$2:$B$16,B188)</x:f>
        <x:v>60</x:v>
      </x:c>
      <x:c r="K188" t="str">
        <x:f>IF(F188&gt;=J188,"Yes","No")</x:f>
        <x:v>Yes</x:v>
      </x:c>
    </x:row>
    <x:row r="189">
      <x:c r="A189" t="str">
        <x:v>S019</x:v>
      </x:c>
      <x:c r="B189" t="str">
        <x:v>Chemistry</x:v>
      </x:c>
      <x:c r="C189" t="str">
        <x:v>E102</x:v>
      </x:c>
      <x:c r="D189" t="str">
        <x:v>Final</x:v>
      </x:c>
      <x:c r="E189" t="str">
        <x:v>Term 2</x:v>
      </x:c>
      <x:c r="F189" s="34" t="n">
        <x:v>79</x:v>
      </x:c>
      <x:c r="G189" s="34" t="n">
        <x:v>100</x:v>
      </x:c>
      <x:c r="H189" t="str">
        <x:f>IF(F189="","",IF(F189&gt;=40,"Pass","Fail"))</x:f>
        <x:v>Pass</x:v>
      </x:c>
      <x:c r="I189" t="str">
        <x:f>VLOOKUP(A189,Students!$A$2:$F$31,5,FALSE)</x:f>
        <x:v>12A</x:v>
      </x:c>
      <x:c r="J189" t="n">
        <x:f>SUMIFS(Targets!$C$2:$C$16,Targets!$A$2:$A$16,I189,Targets!$B$2:$B$16,B189)</x:f>
        <x:v>60</x:v>
      </x:c>
      <x:c r="K189" t="str">
        <x:f>IF(F189&gt;=J189,"Yes","No")</x:f>
        <x:v>Yes</x:v>
      </x:c>
    </x:row>
    <x:row r="190">
      <x:c r="A190" t="str">
        <x:v>S019</x:v>
      </x:c>
      <x:c r="B190" t="str">
        <x:v>English</x:v>
      </x:c>
      <x:c r="C190" t="str">
        <x:v>E102</x:v>
      </x:c>
      <x:c r="D190" t="str">
        <x:v>Final</x:v>
      </x:c>
      <x:c r="E190" t="str">
        <x:v>Term 2</x:v>
      </x:c>
      <x:c r="F190" s="34" t="n">
        <x:v>77.4</x:v>
      </x:c>
      <x:c r="G190" s="34" t="n">
        <x:v>100</x:v>
      </x:c>
      <x:c r="H190" t="str">
        <x:f>IF(F190="","",IF(F190&gt;=40,"Pass","Fail"))</x:f>
        <x:v>Pass</x:v>
      </x:c>
      <x:c r="I190" t="str">
        <x:f>VLOOKUP(A190,Students!$A$2:$F$31,5,FALSE)</x:f>
        <x:v>12A</x:v>
      </x:c>
      <x:c r="J190" t="n">
        <x:f>SUMIFS(Targets!$C$2:$C$16,Targets!$A$2:$A$16,I190,Targets!$B$2:$B$16,B190)</x:f>
        <x:v>60</x:v>
      </x:c>
      <x:c r="K190" t="str">
        <x:f>IF(F190&gt;=J190,"Yes","No")</x:f>
        <x:v>Yes</x:v>
      </x:c>
    </x:row>
    <x:row r="191">
      <x:c r="A191" t="str">
        <x:v>S019</x:v>
      </x:c>
      <x:c r="B191" t="str">
        <x:v>Computer Science</x:v>
      </x:c>
      <x:c r="C191" t="str">
        <x:v>E102</x:v>
      </x:c>
      <x:c r="D191" t="str">
        <x:v>Final</x:v>
      </x:c>
      <x:c r="E191" t="str">
        <x:v>Term 2</x:v>
      </x:c>
      <x:c r="F191" s="34" t="n">
        <x:v>79.6</x:v>
      </x:c>
      <x:c r="G191" s="34" t="n">
        <x:v>100</x:v>
      </x:c>
      <x:c r="H191" t="str">
        <x:f>IF(F191="","",IF(F191&gt;=40,"Pass","Fail"))</x:f>
        <x:v>Pass</x:v>
      </x:c>
      <x:c r="I191" t="str">
        <x:f>VLOOKUP(A191,Students!$A$2:$F$31,5,FALSE)</x:f>
        <x:v>12A</x:v>
      </x:c>
      <x:c r="J191" t="n">
        <x:f>SUMIFS(Targets!$C$2:$C$16,Targets!$A$2:$A$16,I191,Targets!$B$2:$B$16,B191)</x:f>
        <x:v>80</x:v>
      </x:c>
      <x:c r="K191" t="str">
        <x:f>IF(F191&gt;=J191,"Yes","No")</x:f>
        <x:v>No</x:v>
      </x:c>
    </x:row>
    <x:row r="192">
      <x:c r="A192" t="str">
        <x:v>S020</x:v>
      </x:c>
      <x:c r="B192" t="str">
        <x:v>Maths</x:v>
      </x:c>
      <x:c r="C192" t="str">
        <x:v>E101</x:v>
      </x:c>
      <x:c r="D192" t="str">
        <x:v>Midterm</x:v>
      </x:c>
      <x:c r="E192" t="str">
        <x:v>Term 1</x:v>
      </x:c>
      <x:c r="F192" s="34" t="n">
        <x:v>66.1</x:v>
      </x:c>
      <x:c r="G192" s="34" t="n">
        <x:v>100</x:v>
      </x:c>
      <x:c r="H192" t="str">
        <x:f>IF(F192="","",IF(F192&gt;=40,"Pass","Fail"))</x:f>
        <x:v>Pass</x:v>
      </x:c>
      <x:c r="I192" t="str">
        <x:f>VLOOKUP(A192,Students!$A$2:$F$31,5,FALSE)</x:f>
        <x:v>12B</x:v>
      </x:c>
      <x:c r="J192" t="n">
        <x:f>SUMIFS(Targets!$C$2:$C$16,Targets!$A$2:$A$16,I192,Targets!$B$2:$B$16,B192)</x:f>
        <x:v>75</x:v>
      </x:c>
      <x:c r="K192" t="str">
        <x:f>IF(F192&gt;=J192,"Yes","No")</x:f>
        <x:v>No</x:v>
      </x:c>
    </x:row>
    <x:row r="193">
      <x:c r="A193" t="str">
        <x:v>S020</x:v>
      </x:c>
      <x:c r="B193" t="str">
        <x:v>Physics</x:v>
      </x:c>
      <x:c r="C193" t="str">
        <x:v>E101</x:v>
      </x:c>
      <x:c r="D193" t="str">
        <x:v>Midterm</x:v>
      </x:c>
      <x:c r="E193" t="str">
        <x:v>Term 1</x:v>
      </x:c>
      <x:c r="F193" s="34" t="n">
        <x:v>74.6</x:v>
      </x:c>
      <x:c r="G193" s="34" t="n">
        <x:v>100</x:v>
      </x:c>
      <x:c r="H193" t="str">
        <x:f>IF(F193="","",IF(F193&gt;=40,"Pass","Fail"))</x:f>
        <x:v>Pass</x:v>
      </x:c>
      <x:c r="I193" t="str">
        <x:f>VLOOKUP(A193,Students!$A$2:$F$31,5,FALSE)</x:f>
        <x:v>12B</x:v>
      </x:c>
      <x:c r="J193" t="n">
        <x:f>SUMIFS(Targets!$C$2:$C$16,Targets!$A$2:$A$16,I193,Targets!$B$2:$B$16,B193)</x:f>
        <x:v>80</x:v>
      </x:c>
      <x:c r="K193" t="str">
        <x:f>IF(F193&gt;=J193,"Yes","No")</x:f>
        <x:v>No</x:v>
      </x:c>
    </x:row>
    <x:row r="194">
      <x:c r="A194" t="str">
        <x:v>S020</x:v>
      </x:c>
      <x:c r="B194" t="str">
        <x:v>Chemistry</x:v>
      </x:c>
      <x:c r="C194" t="str">
        <x:v>E101</x:v>
      </x:c>
      <x:c r="D194" t="str">
        <x:v>Midterm</x:v>
      </x:c>
      <x:c r="E194" t="str">
        <x:v>Term 1</x:v>
      </x:c>
      <x:c r="F194" s="34" t="n">
        <x:v>65.1</x:v>
      </x:c>
      <x:c r="G194" s="34" t="n">
        <x:v>100</x:v>
      </x:c>
      <x:c r="H194" t="str">
        <x:f>IF(F194="","",IF(F194&gt;=40,"Pass","Fail"))</x:f>
        <x:v>Pass</x:v>
      </x:c>
      <x:c r="I194" t="str">
        <x:f>VLOOKUP(A194,Students!$A$2:$F$31,5,FALSE)</x:f>
        <x:v>12B</x:v>
      </x:c>
      <x:c r="J194" t="n">
        <x:f>SUMIFS(Targets!$C$2:$C$16,Targets!$A$2:$A$16,I194,Targets!$B$2:$B$16,B194)</x:f>
        <x:v>75</x:v>
      </x:c>
      <x:c r="K194" t="str">
        <x:f>IF(F194&gt;=J194,"Yes","No")</x:f>
        <x:v>No</x:v>
      </x:c>
    </x:row>
    <x:row r="195">
      <x:c r="A195" t="str">
        <x:v>S020</x:v>
      </x:c>
      <x:c r="B195" t="str">
        <x:v>English</x:v>
      </x:c>
      <x:c r="C195" t="str">
        <x:v>E101</x:v>
      </x:c>
      <x:c r="D195" t="str">
        <x:v>Midterm</x:v>
      </x:c>
      <x:c r="E195" t="str">
        <x:v>Term 1</x:v>
      </x:c>
      <x:c r="F195" s="34" t="n">
        <x:v>71.2</x:v>
      </x:c>
      <x:c r="G195" s="34" t="n">
        <x:v>100</x:v>
      </x:c>
      <x:c r="H195" t="str">
        <x:f>IF(F195="","",IF(F195&gt;=40,"Pass","Fail"))</x:f>
        <x:v>Pass</x:v>
      </x:c>
      <x:c r="I195" t="str">
        <x:f>VLOOKUP(A195,Students!$A$2:$F$31,5,FALSE)</x:f>
        <x:v>12B</x:v>
      </x:c>
      <x:c r="J195" t="n">
        <x:f>SUMIFS(Targets!$C$2:$C$16,Targets!$A$2:$A$16,I195,Targets!$B$2:$B$16,B195)</x:f>
        <x:v>80</x:v>
      </x:c>
      <x:c r="K195" t="str">
        <x:f>IF(F195&gt;=J195,"Yes","No")</x:f>
        <x:v>No</x:v>
      </x:c>
    </x:row>
    <x:row r="196">
      <x:c r="A196" t="str">
        <x:v>S020</x:v>
      </x:c>
      <x:c r="B196" t="str">
        <x:v>Computer Science</x:v>
      </x:c>
      <x:c r="C196" t="str">
        <x:v>E101</x:v>
      </x:c>
      <x:c r="D196" t="str">
        <x:v>Midterm</x:v>
      </x:c>
      <x:c r="E196" t="str">
        <x:v>Term 1</x:v>
      </x:c>
      <x:c r="F196" s="34" t="n">
        <x:v>74</x:v>
      </x:c>
      <x:c r="G196" s="34" t="n">
        <x:v>100</x:v>
      </x:c>
      <x:c r="H196" t="str">
        <x:f>IF(F196="","",IF(F196&gt;=40,"Pass","Fail"))</x:f>
        <x:v>Pass</x:v>
      </x:c>
      <x:c r="I196" t="str">
        <x:f>VLOOKUP(A196,Students!$A$2:$F$31,5,FALSE)</x:f>
        <x:v>12B</x:v>
      </x:c>
      <x:c r="J196" t="n">
        <x:f>SUMIFS(Targets!$C$2:$C$16,Targets!$A$2:$A$16,I196,Targets!$B$2:$B$16,B196)</x:f>
        <x:v>80</x:v>
      </x:c>
      <x:c r="K196" t="str">
        <x:f>IF(F196&gt;=J196,"Yes","No")</x:f>
        <x:v>No</x:v>
      </x:c>
    </x:row>
    <x:row r="197">
      <x:c r="A197" t="str">
        <x:v>S020</x:v>
      </x:c>
      <x:c r="B197" t="str">
        <x:v>Maths</x:v>
      </x:c>
      <x:c r="C197" t="str">
        <x:v>E102</x:v>
      </x:c>
      <x:c r="D197" t="str">
        <x:v>Final</x:v>
      </x:c>
      <x:c r="E197" t="str">
        <x:v>Term 2</x:v>
      </x:c>
      <x:c r="F197" s="34" t="n">
        <x:v>89.7</x:v>
      </x:c>
      <x:c r="G197" s="34" t="n">
        <x:v>100</x:v>
      </x:c>
      <x:c r="H197" t="str">
        <x:f>IF(F197="","",IF(F197&gt;=40,"Pass","Fail"))</x:f>
        <x:v>Pass</x:v>
      </x:c>
      <x:c r="I197" t="str">
        <x:f>VLOOKUP(A197,Students!$A$2:$F$31,5,FALSE)</x:f>
        <x:v>12B</x:v>
      </x:c>
      <x:c r="J197" t="n">
        <x:f>SUMIFS(Targets!$C$2:$C$16,Targets!$A$2:$A$16,I197,Targets!$B$2:$B$16,B197)</x:f>
        <x:v>75</x:v>
      </x:c>
      <x:c r="K197" t="str">
        <x:f>IF(F197&gt;=J197,"Yes","No")</x:f>
        <x:v>Yes</x:v>
      </x:c>
    </x:row>
    <x:row r="198">
      <x:c r="A198" t="str">
        <x:v>S020</x:v>
      </x:c>
      <x:c r="B198" t="str">
        <x:v>Physics</x:v>
      </x:c>
      <x:c r="C198" t="str">
        <x:v>E102</x:v>
      </x:c>
      <x:c r="D198" t="str">
        <x:v>Final</x:v>
      </x:c>
      <x:c r="E198" t="str">
        <x:v>Term 2</x:v>
      </x:c>
      <x:c r="F198" s="34" t="n">
        <x:v>58.4</x:v>
      </x:c>
      <x:c r="G198" s="34" t="n">
        <x:v>100</x:v>
      </x:c>
      <x:c r="H198" t="str">
        <x:f>IF(F198="","",IF(F198&gt;=40,"Pass","Fail"))</x:f>
        <x:v>Pass</x:v>
      </x:c>
      <x:c r="I198" t="str">
        <x:f>VLOOKUP(A198,Students!$A$2:$F$31,5,FALSE)</x:f>
        <x:v>12B</x:v>
      </x:c>
      <x:c r="J198" t="n">
        <x:f>SUMIFS(Targets!$C$2:$C$16,Targets!$A$2:$A$16,I198,Targets!$B$2:$B$16,B198)</x:f>
        <x:v>80</x:v>
      </x:c>
      <x:c r="K198" t="str">
        <x:f>IF(F198&gt;=J198,"Yes","No")</x:f>
        <x:v>No</x:v>
      </x:c>
    </x:row>
    <x:row r="199">
      <x:c r="A199" t="str">
        <x:v>S020</x:v>
      </x:c>
      <x:c r="B199" t="str">
        <x:v>Chemistry</x:v>
      </x:c>
      <x:c r="C199" t="str">
        <x:v>E102</x:v>
      </x:c>
      <x:c r="D199" t="str">
        <x:v>Final</x:v>
      </x:c>
      <x:c r="E199" t="str">
        <x:v>Term 2</x:v>
      </x:c>
      <x:c r="F199" s="34" t="n">
        <x:v>87.5</x:v>
      </x:c>
      <x:c r="G199" s="34" t="n">
        <x:v>100</x:v>
      </x:c>
      <x:c r="H199" t="str">
        <x:f>IF(F199="","",IF(F199&gt;=40,"Pass","Fail"))</x:f>
        <x:v>Pass</x:v>
      </x:c>
      <x:c r="I199" t="str">
        <x:f>VLOOKUP(A199,Students!$A$2:$F$31,5,FALSE)</x:f>
        <x:v>12B</x:v>
      </x:c>
      <x:c r="J199" t="n">
        <x:f>SUMIFS(Targets!$C$2:$C$16,Targets!$A$2:$A$16,I199,Targets!$B$2:$B$16,B199)</x:f>
        <x:v>75</x:v>
      </x:c>
      <x:c r="K199" t="str">
        <x:f>IF(F199&gt;=J199,"Yes","No")</x:f>
        <x:v>Yes</x:v>
      </x:c>
    </x:row>
    <x:row r="200">
      <x:c r="A200" t="str">
        <x:v>S020</x:v>
      </x:c>
      <x:c r="B200" t="str">
        <x:v>English</x:v>
      </x:c>
      <x:c r="C200" t="str">
        <x:v>E102</x:v>
      </x:c>
      <x:c r="D200" t="str">
        <x:v>Final</x:v>
      </x:c>
      <x:c r="E200" t="str">
        <x:v>Term 2</x:v>
      </x:c>
      <x:c r="F200" s="34" t="n">
        <x:v>61.4</x:v>
      </x:c>
      <x:c r="G200" s="34" t="n">
        <x:v>100</x:v>
      </x:c>
      <x:c r="H200" t="str">
        <x:f>IF(F200="","",IF(F200&gt;=40,"Pass","Fail"))</x:f>
        <x:v>Pass</x:v>
      </x:c>
      <x:c r="I200" t="str">
        <x:f>VLOOKUP(A200,Students!$A$2:$F$31,5,FALSE)</x:f>
        <x:v>12B</x:v>
      </x:c>
      <x:c r="J200" t="n">
        <x:f>SUMIFS(Targets!$C$2:$C$16,Targets!$A$2:$A$16,I200,Targets!$B$2:$B$16,B200)</x:f>
        <x:v>80</x:v>
      </x:c>
      <x:c r="K200" t="str">
        <x:f>IF(F200&gt;=J200,"Yes","No")</x:f>
        <x:v>No</x:v>
      </x:c>
    </x:row>
    <x:row r="201">
      <x:c r="A201" t="str">
        <x:v>S020</x:v>
      </x:c>
      <x:c r="B201" t="str">
        <x:v>Computer Science</x:v>
      </x:c>
      <x:c r="C201" t="str">
        <x:v>E102</x:v>
      </x:c>
      <x:c r="D201" t="str">
        <x:v>Final</x:v>
      </x:c>
      <x:c r="E201" t="str">
        <x:v>Term 2</x:v>
      </x:c>
      <x:c r="F201" s="34" t="n">
        <x:v>73.5</x:v>
      </x:c>
      <x:c r="G201" s="34" t="n">
        <x:v>100</x:v>
      </x:c>
      <x:c r="H201" t="str">
        <x:f>IF(F201="","",IF(F201&gt;=40,"Pass","Fail"))</x:f>
        <x:v>Pass</x:v>
      </x:c>
      <x:c r="I201" t="str">
        <x:f>VLOOKUP(A201,Students!$A$2:$F$31,5,FALSE)</x:f>
        <x:v>12B</x:v>
      </x:c>
      <x:c r="J201" t="n">
        <x:f>SUMIFS(Targets!$C$2:$C$16,Targets!$A$2:$A$16,I201,Targets!$B$2:$B$16,B201)</x:f>
        <x:v>80</x:v>
      </x:c>
      <x:c r="K201" t="str">
        <x:f>IF(F201&gt;=J201,"Yes","No")</x:f>
        <x:v>No</x:v>
      </x:c>
    </x:row>
    <x:row r="202">
      <x:c r="A202" t="str">
        <x:v>S021</x:v>
      </x:c>
      <x:c r="B202" t="str">
        <x:v>Maths</x:v>
      </x:c>
      <x:c r="C202" t="str">
        <x:v>E101</x:v>
      </x:c>
      <x:c r="D202" t="str">
        <x:v>Midterm</x:v>
      </x:c>
      <x:c r="E202" t="str">
        <x:v>Term 1</x:v>
      </x:c>
      <x:c r="F202" s="34" t="n">
        <x:v>55.1</x:v>
      </x:c>
      <x:c r="G202" s="34" t="n">
        <x:v>100</x:v>
      </x:c>
      <x:c r="H202" t="str">
        <x:f>IF(F202="","",IF(F202&gt;=40,"Pass","Fail"))</x:f>
        <x:v>Pass</x:v>
      </x:c>
      <x:c r="I202" t="str">
        <x:f>VLOOKUP(A202,Students!$A$2:$F$31,5,FALSE)</x:f>
        <x:v>12A</x:v>
      </x:c>
      <x:c r="J202" t="n">
        <x:f>SUMIFS(Targets!$C$2:$C$16,Targets!$A$2:$A$16,I202,Targets!$B$2:$B$16,B202)</x:f>
        <x:v>70</x:v>
      </x:c>
      <x:c r="K202" t="str">
        <x:f>IF(F202&gt;=J202,"Yes","No")</x:f>
        <x:v>No</x:v>
      </x:c>
    </x:row>
    <x:row r="203">
      <x:c r="A203" t="str">
        <x:v>S021</x:v>
      </x:c>
      <x:c r="B203" t="str">
        <x:v>Physics</x:v>
      </x:c>
      <x:c r="C203" t="str">
        <x:v>E101</x:v>
      </x:c>
      <x:c r="D203" t="str">
        <x:v>Midterm</x:v>
      </x:c>
      <x:c r="E203" t="str">
        <x:v>Term 1</x:v>
      </x:c>
      <x:c r="F203" s="34" t="n">
        <x:v>69.3</x:v>
      </x:c>
      <x:c r="G203" s="34" t="n">
        <x:v>100</x:v>
      </x:c>
      <x:c r="H203" t="str">
        <x:f>IF(F203="","",IF(F203&gt;=40,"Pass","Fail"))</x:f>
        <x:v>Pass</x:v>
      </x:c>
      <x:c r="I203" t="str">
        <x:f>VLOOKUP(A203,Students!$A$2:$F$31,5,FALSE)</x:f>
        <x:v>12A</x:v>
      </x:c>
      <x:c r="J203" t="n">
        <x:f>SUMIFS(Targets!$C$2:$C$16,Targets!$A$2:$A$16,I203,Targets!$B$2:$B$16,B203)</x:f>
        <x:v>60</x:v>
      </x:c>
      <x:c r="K203" t="str">
        <x:f>IF(F203&gt;=J203,"Yes","No")</x:f>
        <x:v>Yes</x:v>
      </x:c>
    </x:row>
    <x:row r="204">
      <x:c r="A204" t="str">
        <x:v>S021</x:v>
      </x:c>
      <x:c r="B204" t="str">
        <x:v>Chemistry</x:v>
      </x:c>
      <x:c r="C204" t="str">
        <x:v>E101</x:v>
      </x:c>
      <x:c r="D204" t="str">
        <x:v>Midterm</x:v>
      </x:c>
      <x:c r="E204" t="str">
        <x:v>Term 1</x:v>
      </x:c>
      <x:c r="F204" s="34" t="n">
        <x:v>70.3</x:v>
      </x:c>
      <x:c r="G204" s="34" t="n">
        <x:v>100</x:v>
      </x:c>
      <x:c r="H204" t="str">
        <x:f>IF(F204="","",IF(F204&gt;=40,"Pass","Fail"))</x:f>
        <x:v>Pass</x:v>
      </x:c>
      <x:c r="I204" t="str">
        <x:f>VLOOKUP(A204,Students!$A$2:$F$31,5,FALSE)</x:f>
        <x:v>12A</x:v>
      </x:c>
      <x:c r="J204" t="n">
        <x:f>SUMIFS(Targets!$C$2:$C$16,Targets!$A$2:$A$16,I204,Targets!$B$2:$B$16,B204)</x:f>
        <x:v>60</x:v>
      </x:c>
      <x:c r="K204" t="str">
        <x:f>IF(F204&gt;=J204,"Yes","No")</x:f>
        <x:v>Yes</x:v>
      </x:c>
    </x:row>
    <x:row r="205">
      <x:c r="A205" t="str">
        <x:v>S021</x:v>
      </x:c>
      <x:c r="B205" t="str">
        <x:v>English</x:v>
      </x:c>
      <x:c r="C205" t="str">
        <x:v>E101</x:v>
      </x:c>
      <x:c r="D205" t="str">
        <x:v>Midterm</x:v>
      </x:c>
      <x:c r="E205" t="str">
        <x:v>Term 1</x:v>
      </x:c>
      <x:c r="F205" s="34" t="n">
        <x:v>64.5</x:v>
      </x:c>
      <x:c r="G205" s="34" t="n">
        <x:v>100</x:v>
      </x:c>
      <x:c r="H205" t="str">
        <x:f>IF(F205="","",IF(F205&gt;=40,"Pass","Fail"))</x:f>
        <x:v>Pass</x:v>
      </x:c>
      <x:c r="I205" t="str">
        <x:f>VLOOKUP(A205,Students!$A$2:$F$31,5,FALSE)</x:f>
        <x:v>12A</x:v>
      </x:c>
      <x:c r="J205" t="n">
        <x:f>SUMIFS(Targets!$C$2:$C$16,Targets!$A$2:$A$16,I205,Targets!$B$2:$B$16,B205)</x:f>
        <x:v>60</x:v>
      </x:c>
      <x:c r="K205" t="str">
        <x:f>IF(F205&gt;=J205,"Yes","No")</x:f>
        <x:v>Yes</x:v>
      </x:c>
    </x:row>
    <x:row r="206">
      <x:c r="A206" t="str">
        <x:v>S021</x:v>
      </x:c>
      <x:c r="B206" t="str">
        <x:v>Computer Science</x:v>
      </x:c>
      <x:c r="C206" t="str">
        <x:v>E101</x:v>
      </x:c>
      <x:c r="D206" t="str">
        <x:v>Midterm</x:v>
      </x:c>
      <x:c r="E206" t="str">
        <x:v>Term 1</x:v>
      </x:c>
      <x:c r="F206" s="34" t="n">
        <x:v>46.3</x:v>
      </x:c>
      <x:c r="G206" s="34" t="n">
        <x:v>100</x:v>
      </x:c>
      <x:c r="H206" t="str">
        <x:f>IF(F206="","",IF(F206&gt;=40,"Pass","Fail"))</x:f>
        <x:v>Pass</x:v>
      </x:c>
      <x:c r="I206" t="str">
        <x:f>VLOOKUP(A206,Students!$A$2:$F$31,5,FALSE)</x:f>
        <x:v>12A</x:v>
      </x:c>
      <x:c r="J206" t="n">
        <x:f>SUMIFS(Targets!$C$2:$C$16,Targets!$A$2:$A$16,I206,Targets!$B$2:$B$16,B206)</x:f>
        <x:v>80</x:v>
      </x:c>
      <x:c r="K206" t="str">
        <x:f>IF(F206&gt;=J206,"Yes","No")</x:f>
        <x:v>No</x:v>
      </x:c>
    </x:row>
    <x:row r="207">
      <x:c r="A207" t="str">
        <x:v>S021</x:v>
      </x:c>
      <x:c r="B207" t="str">
        <x:v>Maths</x:v>
      </x:c>
      <x:c r="C207" t="str">
        <x:v>E102</x:v>
      </x:c>
      <x:c r="D207" t="str">
        <x:v>Final</x:v>
      </x:c>
      <x:c r="E207" t="str">
        <x:v>Term 2</x:v>
      </x:c>
      <x:c r="F207" s="34" t="n">
        <x:v>59.1</x:v>
      </x:c>
      <x:c r="G207" s="34" t="n">
        <x:v>100</x:v>
      </x:c>
      <x:c r="H207" t="str">
        <x:f>IF(F207="","",IF(F207&gt;=40,"Pass","Fail"))</x:f>
        <x:v>Pass</x:v>
      </x:c>
      <x:c r="I207" t="str">
        <x:f>VLOOKUP(A207,Students!$A$2:$F$31,5,FALSE)</x:f>
        <x:v>12A</x:v>
      </x:c>
      <x:c r="J207" t="n">
        <x:f>SUMIFS(Targets!$C$2:$C$16,Targets!$A$2:$A$16,I207,Targets!$B$2:$B$16,B207)</x:f>
        <x:v>70</x:v>
      </x:c>
      <x:c r="K207" t="str">
        <x:f>IF(F207&gt;=J207,"Yes","No")</x:f>
        <x:v>No</x:v>
      </x:c>
    </x:row>
    <x:row r="208">
      <x:c r="A208" t="str">
        <x:v>S021</x:v>
      </x:c>
      <x:c r="B208" t="str">
        <x:v>Physics</x:v>
      </x:c>
      <x:c r="C208" t="str">
        <x:v>E102</x:v>
      </x:c>
      <x:c r="D208" t="str">
        <x:v>Final</x:v>
      </x:c>
      <x:c r="E208" t="str">
        <x:v>Term 2</x:v>
      </x:c>
      <x:c r="F208" s="34" t="n">
        <x:v>63.7</x:v>
      </x:c>
      <x:c r="G208" s="34" t="n">
        <x:v>100</x:v>
      </x:c>
      <x:c r="H208" t="str">
        <x:f>IF(F208="","",IF(F208&gt;=40,"Pass","Fail"))</x:f>
        <x:v>Pass</x:v>
      </x:c>
      <x:c r="I208" t="str">
        <x:f>VLOOKUP(A208,Students!$A$2:$F$31,5,FALSE)</x:f>
        <x:v>12A</x:v>
      </x:c>
      <x:c r="J208" t="n">
        <x:f>SUMIFS(Targets!$C$2:$C$16,Targets!$A$2:$A$16,I208,Targets!$B$2:$B$16,B208)</x:f>
        <x:v>60</x:v>
      </x:c>
      <x:c r="K208" t="str">
        <x:f>IF(F208&gt;=J208,"Yes","No")</x:f>
        <x:v>Yes</x:v>
      </x:c>
    </x:row>
    <x:row r="209">
      <x:c r="A209" t="str">
        <x:v>S021</x:v>
      </x:c>
      <x:c r="B209" t="str">
        <x:v>Chemistry</x:v>
      </x:c>
      <x:c r="C209" t="str">
        <x:v>E102</x:v>
      </x:c>
      <x:c r="D209" t="str">
        <x:v>Final</x:v>
      </x:c>
      <x:c r="E209" t="str">
        <x:v>Term 2</x:v>
      </x:c>
      <x:c r="F209" s="34" t="n">
        <x:v>64.3</x:v>
      </x:c>
      <x:c r="G209" s="34" t="n">
        <x:v>100</x:v>
      </x:c>
      <x:c r="H209" t="str">
        <x:f>IF(F209="","",IF(F209&gt;=40,"Pass","Fail"))</x:f>
        <x:v>Pass</x:v>
      </x:c>
      <x:c r="I209" t="str">
        <x:f>VLOOKUP(A209,Students!$A$2:$F$31,5,FALSE)</x:f>
        <x:v>12A</x:v>
      </x:c>
      <x:c r="J209" t="n">
        <x:f>SUMIFS(Targets!$C$2:$C$16,Targets!$A$2:$A$16,I209,Targets!$B$2:$B$16,B209)</x:f>
        <x:v>60</x:v>
      </x:c>
      <x:c r="K209" t="str">
        <x:f>IF(F209&gt;=J209,"Yes","No")</x:f>
        <x:v>Yes</x:v>
      </x:c>
    </x:row>
    <x:row r="210">
      <x:c r="A210" t="str">
        <x:v>S021</x:v>
      </x:c>
      <x:c r="B210" t="str">
        <x:v>English</x:v>
      </x:c>
      <x:c r="C210" t="str">
        <x:v>E102</x:v>
      </x:c>
      <x:c r="D210" t="str">
        <x:v>Final</x:v>
      </x:c>
      <x:c r="E210" t="str">
        <x:v>Term 2</x:v>
      </x:c>
      <x:c r="F210" s="34" t="n">
        <x:v>76.8</x:v>
      </x:c>
      <x:c r="G210" s="34" t="n">
        <x:v>100</x:v>
      </x:c>
      <x:c r="H210" t="str">
        <x:f>IF(F210="","",IF(F210&gt;=40,"Pass","Fail"))</x:f>
        <x:v>Pass</x:v>
      </x:c>
      <x:c r="I210" t="str">
        <x:f>VLOOKUP(A210,Students!$A$2:$F$31,5,FALSE)</x:f>
        <x:v>12A</x:v>
      </x:c>
      <x:c r="J210" t="n">
        <x:f>SUMIFS(Targets!$C$2:$C$16,Targets!$A$2:$A$16,I210,Targets!$B$2:$B$16,B210)</x:f>
        <x:v>60</x:v>
      </x:c>
      <x:c r="K210" t="str">
        <x:f>IF(F210&gt;=J210,"Yes","No")</x:f>
        <x:v>Yes</x:v>
      </x:c>
    </x:row>
    <x:row r="211">
      <x:c r="A211" t="str">
        <x:v>S021</x:v>
      </x:c>
      <x:c r="B211" t="str">
        <x:v>Computer Science</x:v>
      </x:c>
      <x:c r="C211" t="str">
        <x:v>E102</x:v>
      </x:c>
      <x:c r="D211" t="str">
        <x:v>Final</x:v>
      </x:c>
      <x:c r="E211" t="str">
        <x:v>Term 2</x:v>
      </x:c>
      <x:c r="F211" s="34" t="n">
        <x:v>86.6</x:v>
      </x:c>
      <x:c r="G211" s="34" t="n">
        <x:v>100</x:v>
      </x:c>
      <x:c r="H211" t="str">
        <x:f>IF(F211="","",IF(F211&gt;=40,"Pass","Fail"))</x:f>
        <x:v>Pass</x:v>
      </x:c>
      <x:c r="I211" t="str">
        <x:f>VLOOKUP(A211,Students!$A$2:$F$31,5,FALSE)</x:f>
        <x:v>12A</x:v>
      </x:c>
      <x:c r="J211" t="n">
        <x:f>SUMIFS(Targets!$C$2:$C$16,Targets!$A$2:$A$16,I211,Targets!$B$2:$B$16,B211)</x:f>
        <x:v>80</x:v>
      </x:c>
      <x:c r="K211" t="str">
        <x:f>IF(F211&gt;=J211,"Yes","No")</x:f>
        <x:v>Yes</x:v>
      </x:c>
    </x:row>
    <x:row r="212">
      <x:c r="A212" t="str">
        <x:v>S022</x:v>
      </x:c>
      <x:c r="B212" t="str">
        <x:v>Maths</x:v>
      </x:c>
      <x:c r="C212" t="str">
        <x:v>E101</x:v>
      </x:c>
      <x:c r="D212" t="str">
        <x:v>Midterm</x:v>
      </x:c>
      <x:c r="E212" t="str">
        <x:v>Term 1</x:v>
      </x:c>
      <x:c r="F212" s="34" t="n">
        <x:v>75</x:v>
      </x:c>
      <x:c r="G212" s="34" t="n">
        <x:v>100</x:v>
      </x:c>
      <x:c r="H212" t="str">
        <x:f>IF(F212="","",IF(F212&gt;=40,"Pass","Fail"))</x:f>
        <x:v>Pass</x:v>
      </x:c>
      <x:c r="I212" t="str">
        <x:f>VLOOKUP(A212,Students!$A$2:$F$31,5,FALSE)</x:f>
        <x:v>12C</x:v>
      </x:c>
      <x:c r="J212" t="n">
        <x:f>SUMIFS(Targets!$C$2:$C$16,Targets!$A$2:$A$16,I212,Targets!$B$2:$B$16,B212)</x:f>
        <x:v>70</x:v>
      </x:c>
      <x:c r="K212" t="str">
        <x:f>IF(F212&gt;=J212,"Yes","No")</x:f>
        <x:v>Yes</x:v>
      </x:c>
    </x:row>
    <x:row r="213">
      <x:c r="A213" t="str">
        <x:v>S022</x:v>
      </x:c>
      <x:c r="B213" t="str">
        <x:v>Physics</x:v>
      </x:c>
      <x:c r="C213" t="str">
        <x:v>E101</x:v>
      </x:c>
      <x:c r="D213" t="str">
        <x:v>Midterm</x:v>
      </x:c>
      <x:c r="E213" t="str">
        <x:v>Term 1</x:v>
      </x:c>
      <x:c r="F213" s="34" t="n">
        <x:v>69.8</x:v>
      </x:c>
      <x:c r="G213" s="34" t="n">
        <x:v>100</x:v>
      </x:c>
      <x:c r="H213" t="str">
        <x:f>IF(F213="","",IF(F213&gt;=40,"Pass","Fail"))</x:f>
        <x:v>Pass</x:v>
      </x:c>
      <x:c r="I213" t="str">
        <x:f>VLOOKUP(A213,Students!$A$2:$F$31,5,FALSE)</x:f>
        <x:v>12C</x:v>
      </x:c>
      <x:c r="J213" t="n">
        <x:f>SUMIFS(Targets!$C$2:$C$16,Targets!$A$2:$A$16,I213,Targets!$B$2:$B$16,B213)</x:f>
        <x:v>80</x:v>
      </x:c>
      <x:c r="K213" t="str">
        <x:f>IF(F213&gt;=J213,"Yes","No")</x:f>
        <x:v>No</x:v>
      </x:c>
    </x:row>
    <x:row r="214">
      <x:c r="A214" t="str">
        <x:v>S022</x:v>
      </x:c>
      <x:c r="B214" t="str">
        <x:v>Chemistry</x:v>
      </x:c>
      <x:c r="C214" t="str">
        <x:v>E101</x:v>
      </x:c>
      <x:c r="D214" t="str">
        <x:v>Midterm</x:v>
      </x:c>
      <x:c r="E214" t="str">
        <x:v>Term 1</x:v>
      </x:c>
      <x:c r="F214" s="34" t="n">
        <x:v>82</x:v>
      </x:c>
      <x:c r="G214" s="34" t="n">
        <x:v>100</x:v>
      </x:c>
      <x:c r="H214" t="str">
        <x:f>IF(F214="","",IF(F214&gt;=40,"Pass","Fail"))</x:f>
        <x:v>Pass</x:v>
      </x:c>
      <x:c r="I214" t="str">
        <x:f>VLOOKUP(A214,Students!$A$2:$F$31,5,FALSE)</x:f>
        <x:v>12C</x:v>
      </x:c>
      <x:c r="J214" t="n">
        <x:f>SUMIFS(Targets!$C$2:$C$16,Targets!$A$2:$A$16,I214,Targets!$B$2:$B$16,B214)</x:f>
        <x:v>65</x:v>
      </x:c>
      <x:c r="K214" t="str">
        <x:f>IF(F214&gt;=J214,"Yes","No")</x:f>
        <x:v>Yes</x:v>
      </x:c>
    </x:row>
    <x:row r="215">
      <x:c r="A215" t="str">
        <x:v>S022</x:v>
      </x:c>
      <x:c r="B215" t="str">
        <x:v>English</x:v>
      </x:c>
      <x:c r="C215" t="str">
        <x:v>E101</x:v>
      </x:c>
      <x:c r="D215" t="str">
        <x:v>Midterm</x:v>
      </x:c>
      <x:c r="E215" t="str">
        <x:v>Term 1</x:v>
      </x:c>
      <x:c r="F215" s="34" t="n">
        <x:v>80.6</x:v>
      </x:c>
      <x:c r="G215" s="34" t="n">
        <x:v>100</x:v>
      </x:c>
      <x:c r="H215" t="str">
        <x:f>IF(F215="","",IF(F215&gt;=40,"Pass","Fail"))</x:f>
        <x:v>Pass</x:v>
      </x:c>
      <x:c r="I215" t="str">
        <x:f>VLOOKUP(A215,Students!$A$2:$F$31,5,FALSE)</x:f>
        <x:v>12C</x:v>
      </x:c>
      <x:c r="J215" t="n">
        <x:f>SUMIFS(Targets!$C$2:$C$16,Targets!$A$2:$A$16,I215,Targets!$B$2:$B$16,B215)</x:f>
        <x:v>70</x:v>
      </x:c>
      <x:c r="K215" t="str">
        <x:f>IF(F215&gt;=J215,"Yes","No")</x:f>
        <x:v>Yes</x:v>
      </x:c>
    </x:row>
    <x:row r="216">
      <x:c r="A216" t="str">
        <x:v>S022</x:v>
      </x:c>
      <x:c r="B216" t="str">
        <x:v>Computer Science</x:v>
      </x:c>
      <x:c r="C216" t="str">
        <x:v>E101</x:v>
      </x:c>
      <x:c r="D216" t="str">
        <x:v>Midterm</x:v>
      </x:c>
      <x:c r="E216" t="str">
        <x:v>Term 1</x:v>
      </x:c>
      <x:c r="F216" s="34" t="n">
        <x:v>80.8</x:v>
      </x:c>
      <x:c r="G216" s="34" t="n">
        <x:v>100</x:v>
      </x:c>
      <x:c r="H216" t="str">
        <x:f>IF(F216="","",IF(F216&gt;=40,"Pass","Fail"))</x:f>
        <x:v>Pass</x:v>
      </x:c>
      <x:c r="I216" t="str">
        <x:f>VLOOKUP(A216,Students!$A$2:$F$31,5,FALSE)</x:f>
        <x:v>12C</x:v>
      </x:c>
      <x:c r="J216" t="n">
        <x:f>SUMIFS(Targets!$C$2:$C$16,Targets!$A$2:$A$16,I216,Targets!$B$2:$B$16,B216)</x:f>
        <x:v>80</x:v>
      </x:c>
      <x:c r="K216" t="str">
        <x:f>IF(F216&gt;=J216,"Yes","No")</x:f>
        <x:v>Yes</x:v>
      </x:c>
    </x:row>
    <x:row r="217">
      <x:c r="A217" t="str">
        <x:v>S022</x:v>
      </x:c>
      <x:c r="B217" t="str">
        <x:v>Maths</x:v>
      </x:c>
      <x:c r="C217" t="str">
        <x:v>E102</x:v>
      </x:c>
      <x:c r="D217" t="str">
        <x:v>Final</x:v>
      </x:c>
      <x:c r="E217" t="str">
        <x:v>Term 2</x:v>
      </x:c>
      <x:c r="F217" s="34" t="n">
        <x:v>87.4</x:v>
      </x:c>
      <x:c r="G217" s="34" t="n">
        <x:v>100</x:v>
      </x:c>
      <x:c r="H217" t="str">
        <x:f>IF(F217="","",IF(F217&gt;=40,"Pass","Fail"))</x:f>
        <x:v>Pass</x:v>
      </x:c>
      <x:c r="I217" t="str">
        <x:f>VLOOKUP(A217,Students!$A$2:$F$31,5,FALSE)</x:f>
        <x:v>12C</x:v>
      </x:c>
      <x:c r="J217" t="n">
        <x:f>SUMIFS(Targets!$C$2:$C$16,Targets!$A$2:$A$16,I217,Targets!$B$2:$B$16,B217)</x:f>
        <x:v>70</x:v>
      </x:c>
      <x:c r="K217" t="str">
        <x:f>IF(F217&gt;=J217,"Yes","No")</x:f>
        <x:v>Yes</x:v>
      </x:c>
    </x:row>
    <x:row r="218">
      <x:c r="A218" t="str">
        <x:v>S022</x:v>
      </x:c>
      <x:c r="B218" t="str">
        <x:v>Physics</x:v>
      </x:c>
      <x:c r="C218" t="str">
        <x:v>E102</x:v>
      </x:c>
      <x:c r="D218" t="str">
        <x:v>Final</x:v>
      </x:c>
      <x:c r="E218" t="str">
        <x:v>Term 2</x:v>
      </x:c>
      <x:c r="F218" s="34" t="n">
        <x:v>70.6</x:v>
      </x:c>
      <x:c r="G218" s="34" t="n">
        <x:v>100</x:v>
      </x:c>
      <x:c r="H218" t="str">
        <x:f>IF(F218="","",IF(F218&gt;=40,"Pass","Fail"))</x:f>
        <x:v>Pass</x:v>
      </x:c>
      <x:c r="I218" t="str">
        <x:f>VLOOKUP(A218,Students!$A$2:$F$31,5,FALSE)</x:f>
        <x:v>12C</x:v>
      </x:c>
      <x:c r="J218" t="n">
        <x:f>SUMIFS(Targets!$C$2:$C$16,Targets!$A$2:$A$16,I218,Targets!$B$2:$B$16,B218)</x:f>
        <x:v>80</x:v>
      </x:c>
      <x:c r="K218" t="str">
        <x:f>IF(F218&gt;=J218,"Yes","No")</x:f>
        <x:v>No</x:v>
      </x:c>
    </x:row>
    <x:row r="219">
      <x:c r="A219" t="str">
        <x:v>S022</x:v>
      </x:c>
      <x:c r="B219" t="str">
        <x:v>Chemistry</x:v>
      </x:c>
      <x:c r="C219" t="str">
        <x:v>E102</x:v>
      </x:c>
      <x:c r="D219" t="str">
        <x:v>Final</x:v>
      </x:c>
      <x:c r="E219" t="str">
        <x:v>Term 2</x:v>
      </x:c>
      <x:c r="F219" s="34" t="n">
        <x:v>67.6</x:v>
      </x:c>
      <x:c r="G219" s="34" t="n">
        <x:v>100</x:v>
      </x:c>
      <x:c r="H219" t="str">
        <x:f>IF(F219="","",IF(F219&gt;=40,"Pass","Fail"))</x:f>
        <x:v>Pass</x:v>
      </x:c>
      <x:c r="I219" t="str">
        <x:f>VLOOKUP(A219,Students!$A$2:$F$31,5,FALSE)</x:f>
        <x:v>12C</x:v>
      </x:c>
      <x:c r="J219" t="n">
        <x:f>SUMIFS(Targets!$C$2:$C$16,Targets!$A$2:$A$16,I219,Targets!$B$2:$B$16,B219)</x:f>
        <x:v>65</x:v>
      </x:c>
      <x:c r="K219" t="str">
        <x:f>IF(F219&gt;=J219,"Yes","No")</x:f>
        <x:v>Yes</x:v>
      </x:c>
    </x:row>
    <x:row r="220">
      <x:c r="A220" t="str">
        <x:v>S022</x:v>
      </x:c>
      <x:c r="B220" t="str">
        <x:v>English</x:v>
      </x:c>
      <x:c r="C220" t="str">
        <x:v>E102</x:v>
      </x:c>
      <x:c r="D220" t="str">
        <x:v>Final</x:v>
      </x:c>
      <x:c r="E220" t="str">
        <x:v>Term 2</x:v>
      </x:c>
      <x:c r="F220" s="34" t="n">
        <x:v>79.8</x:v>
      </x:c>
      <x:c r="G220" s="34" t="n">
        <x:v>100</x:v>
      </x:c>
      <x:c r="H220" t="str">
        <x:f>IF(F220="","",IF(F220&gt;=40,"Pass","Fail"))</x:f>
        <x:v>Pass</x:v>
      </x:c>
      <x:c r="I220" t="str">
        <x:f>VLOOKUP(A220,Students!$A$2:$F$31,5,FALSE)</x:f>
        <x:v>12C</x:v>
      </x:c>
      <x:c r="J220" t="n">
        <x:f>SUMIFS(Targets!$C$2:$C$16,Targets!$A$2:$A$16,I220,Targets!$B$2:$B$16,B220)</x:f>
        <x:v>70</x:v>
      </x:c>
      <x:c r="K220" t="str">
        <x:f>IF(F220&gt;=J220,"Yes","No")</x:f>
        <x:v>Yes</x:v>
      </x:c>
    </x:row>
    <x:row r="221">
      <x:c r="A221" t="str">
        <x:v>S022</x:v>
      </x:c>
      <x:c r="B221" t="str">
        <x:v>Computer Science</x:v>
      </x:c>
      <x:c r="C221" t="str">
        <x:v>E102</x:v>
      </x:c>
      <x:c r="D221" t="str">
        <x:v>Final</x:v>
      </x:c>
      <x:c r="E221" t="str">
        <x:v>Term 2</x:v>
      </x:c>
      <x:c r="F221" s="34" t="n">
        <x:v>84.7</x:v>
      </x:c>
      <x:c r="G221" s="34" t="n">
        <x:v>100</x:v>
      </x:c>
      <x:c r="H221" t="str">
        <x:f>IF(F221="","",IF(F221&gt;=40,"Pass","Fail"))</x:f>
        <x:v>Pass</x:v>
      </x:c>
      <x:c r="I221" t="str">
        <x:f>VLOOKUP(A221,Students!$A$2:$F$31,5,FALSE)</x:f>
        <x:v>12C</x:v>
      </x:c>
      <x:c r="J221" t="n">
        <x:f>SUMIFS(Targets!$C$2:$C$16,Targets!$A$2:$A$16,I221,Targets!$B$2:$B$16,B221)</x:f>
        <x:v>80</x:v>
      </x:c>
      <x:c r="K221" t="str">
        <x:f>IF(F221&gt;=J221,"Yes","No")</x:f>
        <x:v>Yes</x:v>
      </x:c>
    </x:row>
    <x:row r="222">
      <x:c r="A222" t="str">
        <x:v>S023</x:v>
      </x:c>
      <x:c r="B222" t="str">
        <x:v>Maths</x:v>
      </x:c>
      <x:c r="C222" t="str">
        <x:v>E101</x:v>
      </x:c>
      <x:c r="D222" t="str">
        <x:v>Midterm</x:v>
      </x:c>
      <x:c r="E222" t="str">
        <x:v>Term 1</x:v>
      </x:c>
      <x:c r="F222" s="34" t="n">
        <x:v>80.6</x:v>
      </x:c>
      <x:c r="G222" s="34" t="n">
        <x:v>100</x:v>
      </x:c>
      <x:c r="H222" t="str">
        <x:f>IF(F222="","",IF(F222&gt;=40,"Pass","Fail"))</x:f>
        <x:v>Pass</x:v>
      </x:c>
      <x:c r="I222" t="str">
        <x:f>VLOOKUP(A222,Students!$A$2:$F$31,5,FALSE)</x:f>
        <x:v>12B</x:v>
      </x:c>
      <x:c r="J222" t="n">
        <x:f>SUMIFS(Targets!$C$2:$C$16,Targets!$A$2:$A$16,I222,Targets!$B$2:$B$16,B222)</x:f>
        <x:v>75</x:v>
      </x:c>
      <x:c r="K222" t="str">
        <x:f>IF(F222&gt;=J222,"Yes","No")</x:f>
        <x:v>Yes</x:v>
      </x:c>
    </x:row>
    <x:row r="223">
      <x:c r="A223" t="str">
        <x:v>S023</x:v>
      </x:c>
      <x:c r="B223" t="str">
        <x:v>Physics</x:v>
      </x:c>
      <x:c r="C223" t="str">
        <x:v>E101</x:v>
      </x:c>
      <x:c r="D223" t="str">
        <x:v>Midterm</x:v>
      </x:c>
      <x:c r="E223" t="str">
        <x:v>Term 1</x:v>
      </x:c>
      <x:c r="F223" s="34" t="n">
        <x:v>62.3</x:v>
      </x:c>
      <x:c r="G223" s="34" t="n">
        <x:v>100</x:v>
      </x:c>
      <x:c r="H223" t="str">
        <x:f>IF(F223="","",IF(F223&gt;=40,"Pass","Fail"))</x:f>
        <x:v>Pass</x:v>
      </x:c>
      <x:c r="I223" t="str">
        <x:f>VLOOKUP(A223,Students!$A$2:$F$31,5,FALSE)</x:f>
        <x:v>12B</x:v>
      </x:c>
      <x:c r="J223" t="n">
        <x:f>SUMIFS(Targets!$C$2:$C$16,Targets!$A$2:$A$16,I223,Targets!$B$2:$B$16,B223)</x:f>
        <x:v>80</x:v>
      </x:c>
      <x:c r="K223" t="str">
        <x:f>IF(F223&gt;=J223,"Yes","No")</x:f>
        <x:v>No</x:v>
      </x:c>
    </x:row>
    <x:row r="224">
      <x:c r="A224" t="str">
        <x:v>S023</x:v>
      </x:c>
      <x:c r="B224" t="str">
        <x:v>Chemistry</x:v>
      </x:c>
      <x:c r="C224" t="str">
        <x:v>E101</x:v>
      </x:c>
      <x:c r="D224" t="str">
        <x:v>Midterm</x:v>
      </x:c>
      <x:c r="E224" t="str">
        <x:v>Term 1</x:v>
      </x:c>
      <x:c r="F224" s="34" t="n">
        <x:v>62.3</x:v>
      </x:c>
      <x:c r="G224" s="34" t="n">
        <x:v>100</x:v>
      </x:c>
      <x:c r="H224" t="str">
        <x:f>IF(F224="","",IF(F224&gt;=40,"Pass","Fail"))</x:f>
        <x:v>Pass</x:v>
      </x:c>
      <x:c r="I224" t="str">
        <x:f>VLOOKUP(A224,Students!$A$2:$F$31,5,FALSE)</x:f>
        <x:v>12B</x:v>
      </x:c>
      <x:c r="J224" t="n">
        <x:f>SUMIFS(Targets!$C$2:$C$16,Targets!$A$2:$A$16,I224,Targets!$B$2:$B$16,B224)</x:f>
        <x:v>75</x:v>
      </x:c>
      <x:c r="K224" t="str">
        <x:f>IF(F224&gt;=J224,"Yes","No")</x:f>
        <x:v>No</x:v>
      </x:c>
    </x:row>
    <x:row r="225">
      <x:c r="A225" t="str">
        <x:v>S023</x:v>
      </x:c>
      <x:c r="B225" t="str">
        <x:v>English</x:v>
      </x:c>
      <x:c r="C225" t="str">
        <x:v>E101</x:v>
      </x:c>
      <x:c r="D225" t="str">
        <x:v>Midterm</x:v>
      </x:c>
      <x:c r="E225" t="str">
        <x:v>Term 1</x:v>
      </x:c>
      <x:c r="F225" s="34" t="n">
        <x:v>70.6</x:v>
      </x:c>
      <x:c r="G225" s="34" t="n">
        <x:v>100</x:v>
      </x:c>
      <x:c r="H225" t="str">
        <x:f>IF(F225="","",IF(F225&gt;=40,"Pass","Fail"))</x:f>
        <x:v>Pass</x:v>
      </x:c>
      <x:c r="I225" t="str">
        <x:f>VLOOKUP(A225,Students!$A$2:$F$31,5,FALSE)</x:f>
        <x:v>12B</x:v>
      </x:c>
      <x:c r="J225" t="n">
        <x:f>SUMIFS(Targets!$C$2:$C$16,Targets!$A$2:$A$16,I225,Targets!$B$2:$B$16,B225)</x:f>
        <x:v>80</x:v>
      </x:c>
      <x:c r="K225" t="str">
        <x:f>IF(F225&gt;=J225,"Yes","No")</x:f>
        <x:v>No</x:v>
      </x:c>
    </x:row>
    <x:row r="226">
      <x:c r="A226" t="str">
        <x:v>S023</x:v>
      </x:c>
      <x:c r="B226" t="str">
        <x:v>Computer Science</x:v>
      </x:c>
      <x:c r="C226" t="str">
        <x:v>E101</x:v>
      </x:c>
      <x:c r="D226" t="str">
        <x:v>Midterm</x:v>
      </x:c>
      <x:c r="E226" t="str">
        <x:v>Term 1</x:v>
      </x:c>
      <x:c r="F226" s="34" t="n">
        <x:v>61.3</x:v>
      </x:c>
      <x:c r="G226" s="34" t="n">
        <x:v>100</x:v>
      </x:c>
      <x:c r="H226" t="str">
        <x:f>IF(F226="","",IF(F226&gt;=40,"Pass","Fail"))</x:f>
        <x:v>Pass</x:v>
      </x:c>
      <x:c r="I226" t="str">
        <x:f>VLOOKUP(A226,Students!$A$2:$F$31,5,FALSE)</x:f>
        <x:v>12B</x:v>
      </x:c>
      <x:c r="J226" t="n">
        <x:f>SUMIFS(Targets!$C$2:$C$16,Targets!$A$2:$A$16,I226,Targets!$B$2:$B$16,B226)</x:f>
        <x:v>80</x:v>
      </x:c>
      <x:c r="K226" t="str">
        <x:f>IF(F226&gt;=J226,"Yes","No")</x:f>
        <x:v>No</x:v>
      </x:c>
    </x:row>
    <x:row r="227">
      <x:c r="A227" t="str">
        <x:v>S023</x:v>
      </x:c>
      <x:c r="B227" t="str">
        <x:v>Maths</x:v>
      </x:c>
      <x:c r="C227" t="str">
        <x:v>E102</x:v>
      </x:c>
      <x:c r="D227" t="str">
        <x:v>Final</x:v>
      </x:c>
      <x:c r="E227" t="str">
        <x:v>Term 2</x:v>
      </x:c>
      <x:c r="F227" s="34" t="n">
        <x:v>71.1</x:v>
      </x:c>
      <x:c r="G227" s="34" t="n">
        <x:v>100</x:v>
      </x:c>
      <x:c r="H227" t="str">
        <x:f>IF(F227="","",IF(F227&gt;=40,"Pass","Fail"))</x:f>
        <x:v>Pass</x:v>
      </x:c>
      <x:c r="I227" t="str">
        <x:f>VLOOKUP(A227,Students!$A$2:$F$31,5,FALSE)</x:f>
        <x:v>12B</x:v>
      </x:c>
      <x:c r="J227" t="n">
        <x:f>SUMIFS(Targets!$C$2:$C$16,Targets!$A$2:$A$16,I227,Targets!$B$2:$B$16,B227)</x:f>
        <x:v>75</x:v>
      </x:c>
      <x:c r="K227" t="str">
        <x:f>IF(F227&gt;=J227,"Yes","No")</x:f>
        <x:v>No</x:v>
      </x:c>
    </x:row>
    <x:row r="228">
      <x:c r="A228" t="str">
        <x:v>S023</x:v>
      </x:c>
      <x:c r="B228" t="str">
        <x:v>Physics</x:v>
      </x:c>
      <x:c r="C228" t="str">
        <x:v>E102</x:v>
      </x:c>
      <x:c r="D228" t="str">
        <x:v>Final</x:v>
      </x:c>
      <x:c r="E228" t="str">
        <x:v>Term 2</x:v>
      </x:c>
      <x:c r="F228" s="34" t="n">
        <x:v>64.7</x:v>
      </x:c>
      <x:c r="G228" s="34" t="n">
        <x:v>100</x:v>
      </x:c>
      <x:c r="H228" t="str">
        <x:f>IF(F228="","",IF(F228&gt;=40,"Pass","Fail"))</x:f>
        <x:v>Pass</x:v>
      </x:c>
      <x:c r="I228" t="str">
        <x:f>VLOOKUP(A228,Students!$A$2:$F$31,5,FALSE)</x:f>
        <x:v>12B</x:v>
      </x:c>
      <x:c r="J228" t="n">
        <x:f>SUMIFS(Targets!$C$2:$C$16,Targets!$A$2:$A$16,I228,Targets!$B$2:$B$16,B228)</x:f>
        <x:v>80</x:v>
      </x:c>
      <x:c r="K228" t="str">
        <x:f>IF(F228&gt;=J228,"Yes","No")</x:f>
        <x:v>No</x:v>
      </x:c>
    </x:row>
    <x:row r="229">
      <x:c r="A229" t="str">
        <x:v>S023</x:v>
      </x:c>
      <x:c r="B229" t="str">
        <x:v>Chemistry</x:v>
      </x:c>
      <x:c r="C229" t="str">
        <x:v>E102</x:v>
      </x:c>
      <x:c r="D229" t="str">
        <x:v>Final</x:v>
      </x:c>
      <x:c r="E229" t="str">
        <x:v>Term 2</x:v>
      </x:c>
      <x:c r="F229" s="34" t="n">
        <x:v>83.3</x:v>
      </x:c>
      <x:c r="G229" s="34" t="n">
        <x:v>100</x:v>
      </x:c>
      <x:c r="H229" t="str">
        <x:f>IF(F229="","",IF(F229&gt;=40,"Pass","Fail"))</x:f>
        <x:v>Pass</x:v>
      </x:c>
      <x:c r="I229" t="str">
        <x:f>VLOOKUP(A229,Students!$A$2:$F$31,5,FALSE)</x:f>
        <x:v>12B</x:v>
      </x:c>
      <x:c r="J229" t="n">
        <x:f>SUMIFS(Targets!$C$2:$C$16,Targets!$A$2:$A$16,I229,Targets!$B$2:$B$16,B229)</x:f>
        <x:v>75</x:v>
      </x:c>
      <x:c r="K229" t="str">
        <x:f>IF(F229&gt;=J229,"Yes","No")</x:f>
        <x:v>Yes</x:v>
      </x:c>
    </x:row>
    <x:row r="230">
      <x:c r="A230" t="str">
        <x:v>S023</x:v>
      </x:c>
      <x:c r="B230" t="str">
        <x:v>English</x:v>
      </x:c>
      <x:c r="C230" t="str">
        <x:v>E102</x:v>
      </x:c>
      <x:c r="D230" t="str">
        <x:v>Final</x:v>
      </x:c>
      <x:c r="E230" t="str">
        <x:v>Term 2</x:v>
      </x:c>
      <x:c r="F230" s="34" t="n">
        <x:v>63.1</x:v>
      </x:c>
      <x:c r="G230" s="34" t="n">
        <x:v>100</x:v>
      </x:c>
      <x:c r="H230" t="str">
        <x:f>IF(F230="","",IF(F230&gt;=40,"Pass","Fail"))</x:f>
        <x:v>Pass</x:v>
      </x:c>
      <x:c r="I230" t="str">
        <x:f>VLOOKUP(A230,Students!$A$2:$F$31,5,FALSE)</x:f>
        <x:v>12B</x:v>
      </x:c>
      <x:c r="J230" t="n">
        <x:f>SUMIFS(Targets!$C$2:$C$16,Targets!$A$2:$A$16,I230,Targets!$B$2:$B$16,B230)</x:f>
        <x:v>80</x:v>
      </x:c>
      <x:c r="K230" t="str">
        <x:f>IF(F230&gt;=J230,"Yes","No")</x:f>
        <x:v>No</x:v>
      </x:c>
    </x:row>
    <x:row r="231">
      <x:c r="A231" t="str">
        <x:v>S023</x:v>
      </x:c>
      <x:c r="B231" t="str">
        <x:v>Computer Science</x:v>
      </x:c>
      <x:c r="C231" t="str">
        <x:v>E102</x:v>
      </x:c>
      <x:c r="D231" t="str">
        <x:v>Final</x:v>
      </x:c>
      <x:c r="E231" t="str">
        <x:v>Term 2</x:v>
      </x:c>
      <x:c r="F231" s="34" t="n">
        <x:v>89.6</x:v>
      </x:c>
      <x:c r="G231" s="34" t="n">
        <x:v>100</x:v>
      </x:c>
      <x:c r="H231" t="str">
        <x:f>IF(F231="","",IF(F231&gt;=40,"Pass","Fail"))</x:f>
        <x:v>Pass</x:v>
      </x:c>
      <x:c r="I231" t="str">
        <x:f>VLOOKUP(A231,Students!$A$2:$F$31,5,FALSE)</x:f>
        <x:v>12B</x:v>
      </x:c>
      <x:c r="J231" t="n">
        <x:f>SUMIFS(Targets!$C$2:$C$16,Targets!$A$2:$A$16,I231,Targets!$B$2:$B$16,B231)</x:f>
        <x:v>80</x:v>
      </x:c>
      <x:c r="K231" t="str">
        <x:f>IF(F231&gt;=J231,"Yes","No")</x:f>
        <x:v>Yes</x:v>
      </x:c>
    </x:row>
    <x:row r="232">
      <x:c r="A232" t="str">
        <x:v>S024</x:v>
      </x:c>
      <x:c r="B232" t="str">
        <x:v>Maths</x:v>
      </x:c>
      <x:c r="C232" t="str">
        <x:v>E101</x:v>
      </x:c>
      <x:c r="D232" t="str">
        <x:v>Midterm</x:v>
      </x:c>
      <x:c r="E232" t="str">
        <x:v>Term 1</x:v>
      </x:c>
      <x:c r="F232" s="34" t="n">
        <x:v>45.8</x:v>
      </x:c>
      <x:c r="G232" s="34" t="n">
        <x:v>100</x:v>
      </x:c>
      <x:c r="H232" t="str">
        <x:f>IF(F232="","",IF(F232&gt;=40,"Pass","Fail"))</x:f>
        <x:v>Pass</x:v>
      </x:c>
      <x:c r="I232" t="str">
        <x:f>VLOOKUP(A232,Students!$A$2:$F$31,5,FALSE)</x:f>
        <x:v>12C</x:v>
      </x:c>
      <x:c r="J232" t="n">
        <x:f>SUMIFS(Targets!$C$2:$C$16,Targets!$A$2:$A$16,I232,Targets!$B$2:$B$16,B232)</x:f>
        <x:v>70</x:v>
      </x:c>
      <x:c r="K232" t="str">
        <x:f>IF(F232&gt;=J232,"Yes","No")</x:f>
        <x:v>No</x:v>
      </x:c>
    </x:row>
    <x:row r="233">
      <x:c r="A233" t="str">
        <x:v>S024</x:v>
      </x:c>
      <x:c r="B233" t="str">
        <x:v>Physics</x:v>
      </x:c>
      <x:c r="C233" t="str">
        <x:v>E101</x:v>
      </x:c>
      <x:c r="D233" t="str">
        <x:v>Midterm</x:v>
      </x:c>
      <x:c r="E233" t="str">
        <x:v>Term 1</x:v>
      </x:c>
      <x:c r="F233" s="34" t="n">
        <x:v>48.9</x:v>
      </x:c>
      <x:c r="G233" s="34" t="n">
        <x:v>100</x:v>
      </x:c>
      <x:c r="H233" t="str">
        <x:f>IF(F233="","",IF(F233&gt;=40,"Pass","Fail"))</x:f>
        <x:v>Pass</x:v>
      </x:c>
      <x:c r="I233" t="str">
        <x:f>VLOOKUP(A233,Students!$A$2:$F$31,5,FALSE)</x:f>
        <x:v>12C</x:v>
      </x:c>
      <x:c r="J233" t="n">
        <x:f>SUMIFS(Targets!$C$2:$C$16,Targets!$A$2:$A$16,I233,Targets!$B$2:$B$16,B233)</x:f>
        <x:v>80</x:v>
      </x:c>
      <x:c r="K233" t="str">
        <x:f>IF(F233&gt;=J233,"Yes","No")</x:f>
        <x:v>No</x:v>
      </x:c>
    </x:row>
    <x:row r="234">
      <x:c r="A234" t="str">
        <x:v>S024</x:v>
      </x:c>
      <x:c r="B234" t="str">
        <x:v>Chemistry</x:v>
      </x:c>
      <x:c r="C234" t="str">
        <x:v>E101</x:v>
      </x:c>
      <x:c r="D234" t="str">
        <x:v>Midterm</x:v>
      </x:c>
      <x:c r="E234" t="str">
        <x:v>Term 1</x:v>
      </x:c>
      <x:c r="F234" s="34" t="n">
        <x:v>78.7</x:v>
      </x:c>
      <x:c r="G234" s="34" t="n">
        <x:v>100</x:v>
      </x:c>
      <x:c r="H234" t="str">
        <x:f>IF(F234="","",IF(F234&gt;=40,"Pass","Fail"))</x:f>
        <x:v>Pass</x:v>
      </x:c>
      <x:c r="I234" t="str">
        <x:f>VLOOKUP(A234,Students!$A$2:$F$31,5,FALSE)</x:f>
        <x:v>12C</x:v>
      </x:c>
      <x:c r="J234" t="n">
        <x:f>SUMIFS(Targets!$C$2:$C$16,Targets!$A$2:$A$16,I234,Targets!$B$2:$B$16,B234)</x:f>
        <x:v>65</x:v>
      </x:c>
      <x:c r="K234" t="str">
        <x:f>IF(F234&gt;=J234,"Yes","No")</x:f>
        <x:v>Yes</x:v>
      </x:c>
    </x:row>
    <x:row r="235">
      <x:c r="A235" t="str">
        <x:v>S024</x:v>
      </x:c>
      <x:c r="B235" t="str">
        <x:v>English</x:v>
      </x:c>
      <x:c r="C235" t="str">
        <x:v>E101</x:v>
      </x:c>
      <x:c r="D235" t="str">
        <x:v>Midterm</x:v>
      </x:c>
      <x:c r="E235" t="str">
        <x:v>Term 1</x:v>
      </x:c>
      <x:c r="F235" s="34" t="n">
        <x:v>63.7</x:v>
      </x:c>
      <x:c r="G235" s="34" t="n">
        <x:v>100</x:v>
      </x:c>
      <x:c r="H235" t="str">
        <x:f>IF(F235="","",IF(F235&gt;=40,"Pass","Fail"))</x:f>
        <x:v>Pass</x:v>
      </x:c>
      <x:c r="I235" t="str">
        <x:f>VLOOKUP(A235,Students!$A$2:$F$31,5,FALSE)</x:f>
        <x:v>12C</x:v>
      </x:c>
      <x:c r="J235" t="n">
        <x:f>SUMIFS(Targets!$C$2:$C$16,Targets!$A$2:$A$16,I235,Targets!$B$2:$B$16,B235)</x:f>
        <x:v>70</x:v>
      </x:c>
      <x:c r="K235" t="str">
        <x:f>IF(F235&gt;=J235,"Yes","No")</x:f>
        <x:v>No</x:v>
      </x:c>
    </x:row>
    <x:row r="236">
      <x:c r="A236" t="str">
        <x:v>S024</x:v>
      </x:c>
      <x:c r="B236" t="str">
        <x:v>Computer Science</x:v>
      </x:c>
      <x:c r="C236" t="str">
        <x:v>E101</x:v>
      </x:c>
      <x:c r="D236" t="str">
        <x:v>Midterm</x:v>
      </x:c>
      <x:c r="E236" t="str">
        <x:v>Term 1</x:v>
      </x:c>
      <x:c r="F236" s="34" t="n">
        <x:v>67.4</x:v>
      </x:c>
      <x:c r="G236" s="34" t="n">
        <x:v>100</x:v>
      </x:c>
      <x:c r="H236" t="str">
        <x:f>IF(F236="","",IF(F236&gt;=40,"Pass","Fail"))</x:f>
        <x:v>Pass</x:v>
      </x:c>
      <x:c r="I236" t="str">
        <x:f>VLOOKUP(A236,Students!$A$2:$F$31,5,FALSE)</x:f>
        <x:v>12C</x:v>
      </x:c>
      <x:c r="J236" t="n">
        <x:f>SUMIFS(Targets!$C$2:$C$16,Targets!$A$2:$A$16,I236,Targets!$B$2:$B$16,B236)</x:f>
        <x:v>80</x:v>
      </x:c>
      <x:c r="K236" t="str">
        <x:f>IF(F236&gt;=J236,"Yes","No")</x:f>
        <x:v>No</x:v>
      </x:c>
    </x:row>
    <x:row r="237">
      <x:c r="A237" t="str">
        <x:v>S024</x:v>
      </x:c>
      <x:c r="B237" t="str">
        <x:v>Maths</x:v>
      </x:c>
      <x:c r="C237" t="str">
        <x:v>E102</x:v>
      </x:c>
      <x:c r="D237" t="str">
        <x:v>Final</x:v>
      </x:c>
      <x:c r="E237" t="str">
        <x:v>Term 2</x:v>
      </x:c>
      <x:c r="F237" s="34" t="n">
        <x:v>56.3</x:v>
      </x:c>
      <x:c r="G237" s="34" t="n">
        <x:v>100</x:v>
      </x:c>
      <x:c r="H237" t="str">
        <x:f>IF(F237="","",IF(F237&gt;=40,"Pass","Fail"))</x:f>
        <x:v>Pass</x:v>
      </x:c>
      <x:c r="I237" t="str">
        <x:f>VLOOKUP(A237,Students!$A$2:$F$31,5,FALSE)</x:f>
        <x:v>12C</x:v>
      </x:c>
      <x:c r="J237" t="n">
        <x:f>SUMIFS(Targets!$C$2:$C$16,Targets!$A$2:$A$16,I237,Targets!$B$2:$B$16,B237)</x:f>
        <x:v>70</x:v>
      </x:c>
      <x:c r="K237" t="str">
        <x:f>IF(F237&gt;=J237,"Yes","No")</x:f>
        <x:v>No</x:v>
      </x:c>
    </x:row>
    <x:row r="238">
      <x:c r="A238" t="str">
        <x:v>S024</x:v>
      </x:c>
      <x:c r="B238" t="str">
        <x:v>Physics</x:v>
      </x:c>
      <x:c r="C238" t="str">
        <x:v>E102</x:v>
      </x:c>
      <x:c r="D238" t="str">
        <x:v>Final</x:v>
      </x:c>
      <x:c r="E238" t="str">
        <x:v>Term 2</x:v>
      </x:c>
      <x:c r="F238" s="34" t="n">
        <x:v>56.2</x:v>
      </x:c>
      <x:c r="G238" s="34" t="n">
        <x:v>100</x:v>
      </x:c>
      <x:c r="H238" t="str">
        <x:f>IF(F238="","",IF(F238&gt;=40,"Pass","Fail"))</x:f>
        <x:v>Pass</x:v>
      </x:c>
      <x:c r="I238" t="str">
        <x:f>VLOOKUP(A238,Students!$A$2:$F$31,5,FALSE)</x:f>
        <x:v>12C</x:v>
      </x:c>
      <x:c r="J238" t="n">
        <x:f>SUMIFS(Targets!$C$2:$C$16,Targets!$A$2:$A$16,I238,Targets!$B$2:$B$16,B238)</x:f>
        <x:v>80</x:v>
      </x:c>
      <x:c r="K238" t="str">
        <x:f>IF(F238&gt;=J238,"Yes","No")</x:f>
        <x:v>No</x:v>
      </x:c>
    </x:row>
    <x:row r="239">
      <x:c r="A239" t="str">
        <x:v>S024</x:v>
      </x:c>
      <x:c r="B239" t="str">
        <x:v>Chemistry</x:v>
      </x:c>
      <x:c r="C239" t="str">
        <x:v>E102</x:v>
      </x:c>
      <x:c r="D239" t="str">
        <x:v>Final</x:v>
      </x:c>
      <x:c r="E239" t="str">
        <x:v>Term 2</x:v>
      </x:c>
      <x:c r="F239" s="34" t="n">
        <x:v>54.1</x:v>
      </x:c>
      <x:c r="G239" s="34" t="n">
        <x:v>100</x:v>
      </x:c>
      <x:c r="H239" t="str">
        <x:f>IF(F239="","",IF(F239&gt;=40,"Pass","Fail"))</x:f>
        <x:v>Pass</x:v>
      </x:c>
      <x:c r="I239" t="str">
        <x:f>VLOOKUP(A239,Students!$A$2:$F$31,5,FALSE)</x:f>
        <x:v>12C</x:v>
      </x:c>
      <x:c r="J239" t="n">
        <x:f>SUMIFS(Targets!$C$2:$C$16,Targets!$A$2:$A$16,I239,Targets!$B$2:$B$16,B239)</x:f>
        <x:v>65</x:v>
      </x:c>
      <x:c r="K239" t="str">
        <x:f>IF(F239&gt;=J239,"Yes","No")</x:f>
        <x:v>No</x:v>
      </x:c>
    </x:row>
    <x:row r="240">
      <x:c r="A240" t="str">
        <x:v>S024</x:v>
      </x:c>
      <x:c r="B240" t="str">
        <x:v>English</x:v>
      </x:c>
      <x:c r="C240" t="str">
        <x:v>E102</x:v>
      </x:c>
      <x:c r="D240" t="str">
        <x:v>Final</x:v>
      </x:c>
      <x:c r="E240" t="str">
        <x:v>Term 2</x:v>
      </x:c>
      <x:c r="F240" s="34" t="n">
        <x:v>64.7</x:v>
      </x:c>
      <x:c r="G240" s="34" t="n">
        <x:v>100</x:v>
      </x:c>
      <x:c r="H240" t="str">
        <x:f>IF(F240="","",IF(F240&gt;=40,"Pass","Fail"))</x:f>
        <x:v>Pass</x:v>
      </x:c>
      <x:c r="I240" t="str">
        <x:f>VLOOKUP(A240,Students!$A$2:$F$31,5,FALSE)</x:f>
        <x:v>12C</x:v>
      </x:c>
      <x:c r="J240" t="n">
        <x:f>SUMIFS(Targets!$C$2:$C$16,Targets!$A$2:$A$16,I240,Targets!$B$2:$B$16,B240)</x:f>
        <x:v>70</x:v>
      </x:c>
      <x:c r="K240" t="str">
        <x:f>IF(F240&gt;=J240,"Yes","No")</x:f>
        <x:v>No</x:v>
      </x:c>
    </x:row>
    <x:row r="241">
      <x:c r="A241" t="str">
        <x:v>S024</x:v>
      </x:c>
      <x:c r="B241" t="str">
        <x:v>Computer Science</x:v>
      </x:c>
      <x:c r="C241" t="str">
        <x:v>E102</x:v>
      </x:c>
      <x:c r="D241" t="str">
        <x:v>Final</x:v>
      </x:c>
      <x:c r="E241" t="str">
        <x:v>Term 2</x:v>
      </x:c>
      <x:c r="F241" s="34" t="n">
        <x:v>67.1</x:v>
      </x:c>
      <x:c r="G241" s="34" t="n">
        <x:v>100</x:v>
      </x:c>
      <x:c r="H241" t="str">
        <x:f>IF(F241="","",IF(F241&gt;=40,"Pass","Fail"))</x:f>
        <x:v>Pass</x:v>
      </x:c>
      <x:c r="I241" t="str">
        <x:f>VLOOKUP(A241,Students!$A$2:$F$31,5,FALSE)</x:f>
        <x:v>12C</x:v>
      </x:c>
      <x:c r="J241" t="n">
        <x:f>SUMIFS(Targets!$C$2:$C$16,Targets!$A$2:$A$16,I241,Targets!$B$2:$B$16,B241)</x:f>
        <x:v>80</x:v>
      </x:c>
      <x:c r="K241" t="str">
        <x:f>IF(F241&gt;=J241,"Yes","No")</x:f>
        <x:v>No</x:v>
      </x:c>
    </x:row>
    <x:row r="242">
      <x:c r="A242" t="str">
        <x:v>S025</x:v>
      </x:c>
      <x:c r="B242" t="str">
        <x:v>Maths</x:v>
      </x:c>
      <x:c r="C242" t="str">
        <x:v>E101</x:v>
      </x:c>
      <x:c r="D242" t="str">
        <x:v>Midterm</x:v>
      </x:c>
      <x:c r="E242" t="str">
        <x:v>Term 1</x:v>
      </x:c>
      <x:c r="F242" s="34" t="n">
        <x:v>60.7</x:v>
      </x:c>
      <x:c r="G242" s="34" t="n">
        <x:v>100</x:v>
      </x:c>
      <x:c r="H242" t="str">
        <x:f>IF(F242="","",IF(F242&gt;=40,"Pass","Fail"))</x:f>
        <x:v>Pass</x:v>
      </x:c>
      <x:c r="I242" t="str">
        <x:f>VLOOKUP(A242,Students!$A$2:$F$31,5,FALSE)</x:f>
        <x:v>12C</x:v>
      </x:c>
      <x:c r="J242" t="n">
        <x:f>SUMIFS(Targets!$C$2:$C$16,Targets!$A$2:$A$16,I242,Targets!$B$2:$B$16,B242)</x:f>
        <x:v>70</x:v>
      </x:c>
      <x:c r="K242" t="str">
        <x:f>IF(F242&gt;=J242,"Yes","No")</x:f>
        <x:v>No</x:v>
      </x:c>
    </x:row>
    <x:row r="243">
      <x:c r="A243" t="str">
        <x:v>S025</x:v>
      </x:c>
      <x:c r="B243" t="str">
        <x:v>Physics</x:v>
      </x:c>
      <x:c r="C243" t="str">
        <x:v>E101</x:v>
      </x:c>
      <x:c r="D243" t="str">
        <x:v>Midterm</x:v>
      </x:c>
      <x:c r="E243" t="str">
        <x:v>Term 1</x:v>
      </x:c>
      <x:c r="F243" s="34" t="n">
        <x:v>94.5</x:v>
      </x:c>
      <x:c r="G243" s="34" t="n">
        <x:v>100</x:v>
      </x:c>
      <x:c r="H243" t="str">
        <x:f>IF(F243="","",IF(F243&gt;=40,"Pass","Fail"))</x:f>
        <x:v>Pass</x:v>
      </x:c>
      <x:c r="I243" t="str">
        <x:f>VLOOKUP(A243,Students!$A$2:$F$31,5,FALSE)</x:f>
        <x:v>12C</x:v>
      </x:c>
      <x:c r="J243" t="n">
        <x:f>SUMIFS(Targets!$C$2:$C$16,Targets!$A$2:$A$16,I243,Targets!$B$2:$B$16,B243)</x:f>
        <x:v>80</x:v>
      </x:c>
      <x:c r="K243" t="str">
        <x:f>IF(F243&gt;=J243,"Yes","No")</x:f>
        <x:v>Yes</x:v>
      </x:c>
    </x:row>
    <x:row r="244">
      <x:c r="A244" t="str">
        <x:v>S025</x:v>
      </x:c>
      <x:c r="B244" t="str">
        <x:v>Chemistry</x:v>
      </x:c>
      <x:c r="C244" t="str">
        <x:v>E101</x:v>
      </x:c>
      <x:c r="D244" t="str">
        <x:v>Midterm</x:v>
      </x:c>
      <x:c r="E244" t="str">
        <x:v>Term 1</x:v>
      </x:c>
      <x:c r="F244" s="34" t="n">
        <x:v>85.7</x:v>
      </x:c>
      <x:c r="G244" s="34" t="n">
        <x:v>100</x:v>
      </x:c>
      <x:c r="H244" t="str">
        <x:f>IF(F244="","",IF(F244&gt;=40,"Pass","Fail"))</x:f>
        <x:v>Pass</x:v>
      </x:c>
      <x:c r="I244" t="str">
        <x:f>VLOOKUP(A244,Students!$A$2:$F$31,5,FALSE)</x:f>
        <x:v>12C</x:v>
      </x:c>
      <x:c r="J244" t="n">
        <x:f>SUMIFS(Targets!$C$2:$C$16,Targets!$A$2:$A$16,I244,Targets!$B$2:$B$16,B244)</x:f>
        <x:v>65</x:v>
      </x:c>
      <x:c r="K244" t="str">
        <x:f>IF(F244&gt;=J244,"Yes","No")</x:f>
        <x:v>Yes</x:v>
      </x:c>
    </x:row>
    <x:row r="245">
      <x:c r="A245" t="str">
        <x:v>S025</x:v>
      </x:c>
      <x:c r="B245" t="str">
        <x:v>English</x:v>
      </x:c>
      <x:c r="C245" t="str">
        <x:v>E101</x:v>
      </x:c>
      <x:c r="D245" t="str">
        <x:v>Midterm</x:v>
      </x:c>
      <x:c r="E245" t="str">
        <x:v>Term 1</x:v>
      </x:c>
      <x:c r="F245" s="34" t="n">
        <x:v>81.7</x:v>
      </x:c>
      <x:c r="G245" s="34" t="n">
        <x:v>100</x:v>
      </x:c>
      <x:c r="H245" t="str">
        <x:f>IF(F245="","",IF(F245&gt;=40,"Pass","Fail"))</x:f>
        <x:v>Pass</x:v>
      </x:c>
      <x:c r="I245" t="str">
        <x:f>VLOOKUP(A245,Students!$A$2:$F$31,5,FALSE)</x:f>
        <x:v>12C</x:v>
      </x:c>
      <x:c r="J245" t="n">
        <x:f>SUMIFS(Targets!$C$2:$C$16,Targets!$A$2:$A$16,I245,Targets!$B$2:$B$16,B245)</x:f>
        <x:v>70</x:v>
      </x:c>
      <x:c r="K245" t="str">
        <x:f>IF(F245&gt;=J245,"Yes","No")</x:f>
        <x:v>Yes</x:v>
      </x:c>
    </x:row>
    <x:row r="246">
      <x:c r="A246" t="str">
        <x:v>S025</x:v>
      </x:c>
      <x:c r="B246" t="str">
        <x:v>Computer Science</x:v>
      </x:c>
      <x:c r="C246" t="str">
        <x:v>E101</x:v>
      </x:c>
      <x:c r="D246" t="str">
        <x:v>Midterm</x:v>
      </x:c>
      <x:c r="E246" t="str">
        <x:v>Term 1</x:v>
      </x:c>
      <x:c r="F246" s="34" t="n">
        <x:v>77.9</x:v>
      </x:c>
      <x:c r="G246" s="34" t="n">
        <x:v>100</x:v>
      </x:c>
      <x:c r="H246" t="str">
        <x:f>IF(F246="","",IF(F246&gt;=40,"Pass","Fail"))</x:f>
        <x:v>Pass</x:v>
      </x:c>
      <x:c r="I246" t="str">
        <x:f>VLOOKUP(A246,Students!$A$2:$F$31,5,FALSE)</x:f>
        <x:v>12C</x:v>
      </x:c>
      <x:c r="J246" t="n">
        <x:f>SUMIFS(Targets!$C$2:$C$16,Targets!$A$2:$A$16,I246,Targets!$B$2:$B$16,B246)</x:f>
        <x:v>80</x:v>
      </x:c>
      <x:c r="K246" t="str">
        <x:f>IF(F246&gt;=J246,"Yes","No")</x:f>
        <x:v>No</x:v>
      </x:c>
    </x:row>
    <x:row r="247">
      <x:c r="A247" t="str">
        <x:v>S025</x:v>
      </x:c>
      <x:c r="B247" t="str">
        <x:v>Maths</x:v>
      </x:c>
      <x:c r="C247" t="str">
        <x:v>E102</x:v>
      </x:c>
      <x:c r="D247" t="str">
        <x:v>Final</x:v>
      </x:c>
      <x:c r="E247" t="str">
        <x:v>Term 2</x:v>
      </x:c>
      <x:c r="F247" s="34" t="n">
        <x:v>89.9</x:v>
      </x:c>
      <x:c r="G247" s="34" t="n">
        <x:v>100</x:v>
      </x:c>
      <x:c r="H247" t="str">
        <x:f>IF(F247="","",IF(F247&gt;=40,"Pass","Fail"))</x:f>
        <x:v>Pass</x:v>
      </x:c>
      <x:c r="I247" t="str">
        <x:f>VLOOKUP(A247,Students!$A$2:$F$31,5,FALSE)</x:f>
        <x:v>12C</x:v>
      </x:c>
      <x:c r="J247" t="n">
        <x:f>SUMIFS(Targets!$C$2:$C$16,Targets!$A$2:$A$16,I247,Targets!$B$2:$B$16,B247)</x:f>
        <x:v>70</x:v>
      </x:c>
      <x:c r="K247" t="str">
        <x:f>IF(F247&gt;=J247,"Yes","No")</x:f>
        <x:v>Yes</x:v>
      </x:c>
    </x:row>
    <x:row r="248">
      <x:c r="A248" t="str">
        <x:v>S025</x:v>
      </x:c>
      <x:c r="B248" t="str">
        <x:v>Physics</x:v>
      </x:c>
      <x:c r="C248" t="str">
        <x:v>E102</x:v>
      </x:c>
      <x:c r="D248" t="str">
        <x:v>Final</x:v>
      </x:c>
      <x:c r="E248" t="str">
        <x:v>Term 2</x:v>
      </x:c>
      <x:c r="F248" s="34" t="n">
        <x:v>80.7</x:v>
      </x:c>
      <x:c r="G248" s="34" t="n">
        <x:v>100</x:v>
      </x:c>
      <x:c r="H248" t="str">
        <x:f>IF(F248="","",IF(F248&gt;=40,"Pass","Fail"))</x:f>
        <x:v>Pass</x:v>
      </x:c>
      <x:c r="I248" t="str">
        <x:f>VLOOKUP(A248,Students!$A$2:$F$31,5,FALSE)</x:f>
        <x:v>12C</x:v>
      </x:c>
      <x:c r="J248" t="n">
        <x:f>SUMIFS(Targets!$C$2:$C$16,Targets!$A$2:$A$16,I248,Targets!$B$2:$B$16,B248)</x:f>
        <x:v>80</x:v>
      </x:c>
      <x:c r="K248" t="str">
        <x:f>IF(F248&gt;=J248,"Yes","No")</x:f>
        <x:v>Yes</x:v>
      </x:c>
    </x:row>
    <x:row r="249">
      <x:c r="A249" t="str">
        <x:v>S025</x:v>
      </x:c>
      <x:c r="B249" t="str">
        <x:v>Chemistry</x:v>
      </x:c>
      <x:c r="C249" t="str">
        <x:v>E102</x:v>
      </x:c>
      <x:c r="D249" t="str">
        <x:v>Final</x:v>
      </x:c>
      <x:c r="E249" t="str">
        <x:v>Term 2</x:v>
      </x:c>
      <x:c r="F249" s="34" t="n">
        <x:v>65.1</x:v>
      </x:c>
      <x:c r="G249" s="34" t="n">
        <x:v>100</x:v>
      </x:c>
      <x:c r="H249" t="str">
        <x:f>IF(F249="","",IF(F249&gt;=40,"Pass","Fail"))</x:f>
        <x:v>Pass</x:v>
      </x:c>
      <x:c r="I249" t="str">
        <x:f>VLOOKUP(A249,Students!$A$2:$F$31,5,FALSE)</x:f>
        <x:v>12C</x:v>
      </x:c>
      <x:c r="J249" t="n">
        <x:f>SUMIFS(Targets!$C$2:$C$16,Targets!$A$2:$A$16,I249,Targets!$B$2:$B$16,B249)</x:f>
        <x:v>65</x:v>
      </x:c>
      <x:c r="K249" t="str">
        <x:f>IF(F249&gt;=J249,"Yes","No")</x:f>
        <x:v>Yes</x:v>
      </x:c>
    </x:row>
    <x:row r="250">
      <x:c r="A250" t="str">
        <x:v>S025</x:v>
      </x:c>
      <x:c r="B250" t="str">
        <x:v>English</x:v>
      </x:c>
      <x:c r="C250" t="str">
        <x:v>E102</x:v>
      </x:c>
      <x:c r="D250" t="str">
        <x:v>Final</x:v>
      </x:c>
      <x:c r="E250" t="str">
        <x:v>Term 2</x:v>
      </x:c>
      <x:c r="F250" s="34" t="n">
        <x:v>89.1</x:v>
      </x:c>
      <x:c r="G250" s="34" t="n">
        <x:v>100</x:v>
      </x:c>
      <x:c r="H250" t="str">
        <x:f>IF(F250="","",IF(F250&gt;=40,"Pass","Fail"))</x:f>
        <x:v>Pass</x:v>
      </x:c>
      <x:c r="I250" t="str">
        <x:f>VLOOKUP(A250,Students!$A$2:$F$31,5,FALSE)</x:f>
        <x:v>12C</x:v>
      </x:c>
      <x:c r="J250" t="n">
        <x:f>SUMIFS(Targets!$C$2:$C$16,Targets!$A$2:$A$16,I250,Targets!$B$2:$B$16,B250)</x:f>
        <x:v>70</x:v>
      </x:c>
      <x:c r="K250" t="str">
        <x:f>IF(F250&gt;=J250,"Yes","No")</x:f>
        <x:v>Yes</x:v>
      </x:c>
    </x:row>
    <x:row r="251">
      <x:c r="A251" t="str">
        <x:v>S025</x:v>
      </x:c>
      <x:c r="B251" t="str">
        <x:v>Computer Science</x:v>
      </x:c>
      <x:c r="C251" t="str">
        <x:v>E102</x:v>
      </x:c>
      <x:c r="D251" t="str">
        <x:v>Final</x:v>
      </x:c>
      <x:c r="E251" t="str">
        <x:v>Term 2</x:v>
      </x:c>
      <x:c r="F251" s="34" t="n">
        <x:v>94.9</x:v>
      </x:c>
      <x:c r="G251" s="34" t="n">
        <x:v>100</x:v>
      </x:c>
      <x:c r="H251" t="str">
        <x:f>IF(F251="","",IF(F251&gt;=40,"Pass","Fail"))</x:f>
        <x:v>Pass</x:v>
      </x:c>
      <x:c r="I251" t="str">
        <x:f>VLOOKUP(A251,Students!$A$2:$F$31,5,FALSE)</x:f>
        <x:v>12C</x:v>
      </x:c>
      <x:c r="J251" t="n">
        <x:f>SUMIFS(Targets!$C$2:$C$16,Targets!$A$2:$A$16,I251,Targets!$B$2:$B$16,B251)</x:f>
        <x:v>80</x:v>
      </x:c>
      <x:c r="K251" t="str">
        <x:f>IF(F251&gt;=J251,"Yes","No")</x:f>
        <x:v>Yes</x:v>
      </x:c>
    </x:row>
    <x:row r="252">
      <x:c r="A252" t="str">
        <x:v>S026</x:v>
      </x:c>
      <x:c r="B252" t="str">
        <x:v>Maths</x:v>
      </x:c>
      <x:c r="C252" t="str">
        <x:v>E101</x:v>
      </x:c>
      <x:c r="D252" t="str">
        <x:v>Midterm</x:v>
      </x:c>
      <x:c r="E252" t="str">
        <x:v>Term 1</x:v>
      </x:c>
      <x:c r="F252" s="34" t="n">
        <x:v>66.6</x:v>
      </x:c>
      <x:c r="G252" s="34" t="n">
        <x:v>100</x:v>
      </x:c>
      <x:c r="H252" t="str">
        <x:f>IF(F252="","",IF(F252&gt;=40,"Pass","Fail"))</x:f>
        <x:v>Pass</x:v>
      </x:c>
      <x:c r="I252" t="str">
        <x:f>VLOOKUP(A252,Students!$A$2:$F$31,5,FALSE)</x:f>
        <x:v>12C</x:v>
      </x:c>
      <x:c r="J252" t="n">
        <x:f>SUMIFS(Targets!$C$2:$C$16,Targets!$A$2:$A$16,I252,Targets!$B$2:$B$16,B252)</x:f>
        <x:v>70</x:v>
      </x:c>
      <x:c r="K252" t="str">
        <x:f>IF(F252&gt;=J252,"Yes","No")</x:f>
        <x:v>No</x:v>
      </x:c>
    </x:row>
    <x:row r="253">
      <x:c r="A253" t="str">
        <x:v>S026</x:v>
      </x:c>
      <x:c r="B253" t="str">
        <x:v>Physics</x:v>
      </x:c>
      <x:c r="C253" t="str">
        <x:v>E101</x:v>
      </x:c>
      <x:c r="D253" t="str">
        <x:v>Midterm</x:v>
      </x:c>
      <x:c r="E253" t="str">
        <x:v>Term 1</x:v>
      </x:c>
      <x:c r="F253" s="34" t="n">
        <x:v>58.4</x:v>
      </x:c>
      <x:c r="G253" s="34" t="n">
        <x:v>100</x:v>
      </x:c>
      <x:c r="H253" t="str">
        <x:f>IF(F253="","",IF(F253&gt;=40,"Pass","Fail"))</x:f>
        <x:v>Pass</x:v>
      </x:c>
      <x:c r="I253" t="str">
        <x:f>VLOOKUP(A253,Students!$A$2:$F$31,5,FALSE)</x:f>
        <x:v>12C</x:v>
      </x:c>
      <x:c r="J253" t="n">
        <x:f>SUMIFS(Targets!$C$2:$C$16,Targets!$A$2:$A$16,I253,Targets!$B$2:$B$16,B253)</x:f>
        <x:v>80</x:v>
      </x:c>
      <x:c r="K253" t="str">
        <x:f>IF(F253&gt;=J253,"Yes","No")</x:f>
        <x:v>No</x:v>
      </x:c>
    </x:row>
    <x:row r="254">
      <x:c r="A254" t="str">
        <x:v>S026</x:v>
      </x:c>
      <x:c r="B254" t="str">
        <x:v>Chemistry</x:v>
      </x:c>
      <x:c r="C254" t="str">
        <x:v>E101</x:v>
      </x:c>
      <x:c r="D254" t="str">
        <x:v>Midterm</x:v>
      </x:c>
      <x:c r="E254" t="str">
        <x:v>Term 1</x:v>
      </x:c>
      <x:c r="F254" s="34" t="n">
        <x:v>70.6</x:v>
      </x:c>
      <x:c r="G254" s="34" t="n">
        <x:v>100</x:v>
      </x:c>
      <x:c r="H254" t="str">
        <x:f>IF(F254="","",IF(F254&gt;=40,"Pass","Fail"))</x:f>
        <x:v>Pass</x:v>
      </x:c>
      <x:c r="I254" t="str">
        <x:f>VLOOKUP(A254,Students!$A$2:$F$31,5,FALSE)</x:f>
        <x:v>12C</x:v>
      </x:c>
      <x:c r="J254" t="n">
        <x:f>SUMIFS(Targets!$C$2:$C$16,Targets!$A$2:$A$16,I254,Targets!$B$2:$B$16,B254)</x:f>
        <x:v>65</x:v>
      </x:c>
      <x:c r="K254" t="str">
        <x:f>IF(F254&gt;=J254,"Yes","No")</x:f>
        <x:v>Yes</x:v>
      </x:c>
    </x:row>
    <x:row r="255">
      <x:c r="A255" t="str">
        <x:v>S026</x:v>
      </x:c>
      <x:c r="B255" t="str">
        <x:v>English</x:v>
      </x:c>
      <x:c r="C255" t="str">
        <x:v>E101</x:v>
      </x:c>
      <x:c r="D255" t="str">
        <x:v>Midterm</x:v>
      </x:c>
      <x:c r="E255" t="str">
        <x:v>Term 1</x:v>
      </x:c>
      <x:c r="F255" s="34" t="n">
        <x:v>100</x:v>
      </x:c>
      <x:c r="G255" s="34" t="n">
        <x:v>100</x:v>
      </x:c>
      <x:c r="H255" t="str">
        <x:f>IF(F255="","",IF(F255&gt;=40,"Pass","Fail"))</x:f>
        <x:v>Pass</x:v>
      </x:c>
      <x:c r="I255" t="str">
        <x:f>VLOOKUP(A255,Students!$A$2:$F$31,5,FALSE)</x:f>
        <x:v>12C</x:v>
      </x:c>
      <x:c r="J255" t="n">
        <x:f>SUMIFS(Targets!$C$2:$C$16,Targets!$A$2:$A$16,I255,Targets!$B$2:$B$16,B255)</x:f>
        <x:v>70</x:v>
      </x:c>
      <x:c r="K255" t="str">
        <x:f>IF(F255&gt;=J255,"Yes","No")</x:f>
        <x:v>Yes</x:v>
      </x:c>
    </x:row>
    <x:row r="256">
      <x:c r="A256" t="str">
        <x:v>S026</x:v>
      </x:c>
      <x:c r="B256" t="str">
        <x:v>Computer Science</x:v>
      </x:c>
      <x:c r="C256" t="str">
        <x:v>E101</x:v>
      </x:c>
      <x:c r="D256" t="str">
        <x:v>Midterm</x:v>
      </x:c>
      <x:c r="E256" t="str">
        <x:v>Term 1</x:v>
      </x:c>
      <x:c r="F256" s="34" t="n">
        <x:v>61.4</x:v>
      </x:c>
      <x:c r="G256" s="34" t="n">
        <x:v>100</x:v>
      </x:c>
      <x:c r="H256" t="str">
        <x:f>IF(F256="","",IF(F256&gt;=40,"Pass","Fail"))</x:f>
        <x:v>Pass</x:v>
      </x:c>
      <x:c r="I256" t="str">
        <x:f>VLOOKUP(A256,Students!$A$2:$F$31,5,FALSE)</x:f>
        <x:v>12C</x:v>
      </x:c>
      <x:c r="J256" t="n">
        <x:f>SUMIFS(Targets!$C$2:$C$16,Targets!$A$2:$A$16,I256,Targets!$B$2:$B$16,B256)</x:f>
        <x:v>80</x:v>
      </x:c>
      <x:c r="K256" t="str">
        <x:f>IF(F256&gt;=J256,"Yes","No")</x:f>
        <x:v>No</x:v>
      </x:c>
    </x:row>
    <x:row r="257">
      <x:c r="A257" t="str">
        <x:v>S026</x:v>
      </x:c>
      <x:c r="B257" t="str">
        <x:v>Maths</x:v>
      </x:c>
      <x:c r="C257" t="str">
        <x:v>E102</x:v>
      </x:c>
      <x:c r="D257" t="str">
        <x:v>Final</x:v>
      </x:c>
      <x:c r="E257" t="str">
        <x:v>Term 2</x:v>
      </x:c>
      <x:c r="F257" s="34" t="n">
        <x:v>64.4</x:v>
      </x:c>
      <x:c r="G257" s="34" t="n">
        <x:v>100</x:v>
      </x:c>
      <x:c r="H257" t="str">
        <x:f>IF(F257="","",IF(F257&gt;=40,"Pass","Fail"))</x:f>
        <x:v>Pass</x:v>
      </x:c>
      <x:c r="I257" t="str">
        <x:f>VLOOKUP(A257,Students!$A$2:$F$31,5,FALSE)</x:f>
        <x:v>12C</x:v>
      </x:c>
      <x:c r="J257" t="n">
        <x:f>SUMIFS(Targets!$C$2:$C$16,Targets!$A$2:$A$16,I257,Targets!$B$2:$B$16,B257)</x:f>
        <x:v>70</x:v>
      </x:c>
      <x:c r="K257" t="str">
        <x:f>IF(F257&gt;=J257,"Yes","No")</x:f>
        <x:v>No</x:v>
      </x:c>
    </x:row>
    <x:row r="258">
      <x:c r="A258" t="str">
        <x:v>S026</x:v>
      </x:c>
      <x:c r="B258" t="str">
        <x:v>Physics</x:v>
      </x:c>
      <x:c r="C258" t="str">
        <x:v>E102</x:v>
      </x:c>
      <x:c r="D258" t="str">
        <x:v>Final</x:v>
      </x:c>
      <x:c r="E258" t="str">
        <x:v>Term 2</x:v>
      </x:c>
      <x:c r="F258" s="34" t="n">
        <x:v>75.8</x:v>
      </x:c>
      <x:c r="G258" s="34" t="n">
        <x:v>100</x:v>
      </x:c>
      <x:c r="H258" t="str">
        <x:f>IF(F258="","",IF(F258&gt;=40,"Pass","Fail"))</x:f>
        <x:v>Pass</x:v>
      </x:c>
      <x:c r="I258" t="str">
        <x:f>VLOOKUP(A258,Students!$A$2:$F$31,5,FALSE)</x:f>
        <x:v>12C</x:v>
      </x:c>
      <x:c r="J258" t="n">
        <x:f>SUMIFS(Targets!$C$2:$C$16,Targets!$A$2:$A$16,I258,Targets!$B$2:$B$16,B258)</x:f>
        <x:v>80</x:v>
      </x:c>
      <x:c r="K258" t="str">
        <x:f>IF(F258&gt;=J258,"Yes","No")</x:f>
        <x:v>No</x:v>
      </x:c>
    </x:row>
    <x:row r="259">
      <x:c r="A259" t="str">
        <x:v>S026</x:v>
      </x:c>
      <x:c r="B259" t="str">
        <x:v>Chemistry</x:v>
      </x:c>
      <x:c r="C259" t="str">
        <x:v>E102</x:v>
      </x:c>
      <x:c r="D259" t="str">
        <x:v>Final</x:v>
      </x:c>
      <x:c r="E259" t="str">
        <x:v>Term 2</x:v>
      </x:c>
      <x:c r="F259" s="34" t="n">
        <x:v>72.6</x:v>
      </x:c>
      <x:c r="G259" s="34" t="n">
        <x:v>100</x:v>
      </x:c>
      <x:c r="H259" t="str">
        <x:f>IF(F259="","",IF(F259&gt;=40,"Pass","Fail"))</x:f>
        <x:v>Pass</x:v>
      </x:c>
      <x:c r="I259" t="str">
        <x:f>VLOOKUP(A259,Students!$A$2:$F$31,5,FALSE)</x:f>
        <x:v>12C</x:v>
      </x:c>
      <x:c r="J259" t="n">
        <x:f>SUMIFS(Targets!$C$2:$C$16,Targets!$A$2:$A$16,I259,Targets!$B$2:$B$16,B259)</x:f>
        <x:v>65</x:v>
      </x:c>
      <x:c r="K259" t="str">
        <x:f>IF(F259&gt;=J259,"Yes","No")</x:f>
        <x:v>Yes</x:v>
      </x:c>
    </x:row>
    <x:row r="260">
      <x:c r="A260" t="str">
        <x:v>S026</x:v>
      </x:c>
      <x:c r="B260" t="str">
        <x:v>English</x:v>
      </x:c>
      <x:c r="C260" t="str">
        <x:v>E102</x:v>
      </x:c>
      <x:c r="D260" t="str">
        <x:v>Final</x:v>
      </x:c>
      <x:c r="E260" t="str">
        <x:v>Term 2</x:v>
      </x:c>
      <x:c r="F260" s="34" t="n">
        <x:v>76.9</x:v>
      </x:c>
      <x:c r="G260" s="34" t="n">
        <x:v>100</x:v>
      </x:c>
      <x:c r="H260" t="str">
        <x:f>IF(F260="","",IF(F260&gt;=40,"Pass","Fail"))</x:f>
        <x:v>Pass</x:v>
      </x:c>
      <x:c r="I260" t="str">
        <x:f>VLOOKUP(A260,Students!$A$2:$F$31,5,FALSE)</x:f>
        <x:v>12C</x:v>
      </x:c>
      <x:c r="J260" t="n">
        <x:f>SUMIFS(Targets!$C$2:$C$16,Targets!$A$2:$A$16,I260,Targets!$B$2:$B$16,B260)</x:f>
        <x:v>70</x:v>
      </x:c>
      <x:c r="K260" t="str">
        <x:f>IF(F260&gt;=J260,"Yes","No")</x:f>
        <x:v>Yes</x:v>
      </x:c>
    </x:row>
    <x:row r="261">
      <x:c r="A261" t="str">
        <x:v>S026</x:v>
      </x:c>
      <x:c r="B261" t="str">
        <x:v>Computer Science</x:v>
      </x:c>
      <x:c r="C261" t="str">
        <x:v>E102</x:v>
      </x:c>
      <x:c r="D261" t="str">
        <x:v>Final</x:v>
      </x:c>
      <x:c r="E261" t="str">
        <x:v>Term 2</x:v>
      </x:c>
      <x:c r="F261" s="34" t="n">
        <x:v>97.1</x:v>
      </x:c>
      <x:c r="G261" s="34" t="n">
        <x:v>100</x:v>
      </x:c>
      <x:c r="H261" t="str">
        <x:f>IF(F261="","",IF(F261&gt;=40,"Pass","Fail"))</x:f>
        <x:v>Pass</x:v>
      </x:c>
      <x:c r="I261" t="str">
        <x:f>VLOOKUP(A261,Students!$A$2:$F$31,5,FALSE)</x:f>
        <x:v>12C</x:v>
      </x:c>
      <x:c r="J261" t="n">
        <x:f>SUMIFS(Targets!$C$2:$C$16,Targets!$A$2:$A$16,I261,Targets!$B$2:$B$16,B261)</x:f>
        <x:v>80</x:v>
      </x:c>
      <x:c r="K261" t="str">
        <x:f>IF(F261&gt;=J261,"Yes","No")</x:f>
        <x:v>Yes</x:v>
      </x:c>
    </x:row>
    <x:row r="262">
      <x:c r="A262" t="str">
        <x:v>S027</x:v>
      </x:c>
      <x:c r="B262" t="str">
        <x:v>Maths</x:v>
      </x:c>
      <x:c r="C262" t="str">
        <x:v>E101</x:v>
      </x:c>
      <x:c r="D262" t="str">
        <x:v>Midterm</x:v>
      </x:c>
      <x:c r="E262" t="str">
        <x:v>Term 1</x:v>
      </x:c>
      <x:c r="F262" s="34" t="n">
        <x:v>59</x:v>
      </x:c>
      <x:c r="G262" s="34" t="n">
        <x:v>100</x:v>
      </x:c>
      <x:c r="H262" t="str">
        <x:f>IF(F262="","",IF(F262&gt;=40,"Pass","Fail"))</x:f>
        <x:v>Pass</x:v>
      </x:c>
      <x:c r="I262" t="str">
        <x:f>VLOOKUP(A262,Students!$A$2:$F$31,5,FALSE)</x:f>
        <x:v>12C</x:v>
      </x:c>
      <x:c r="J262" t="n">
        <x:f>SUMIFS(Targets!$C$2:$C$16,Targets!$A$2:$A$16,I262,Targets!$B$2:$B$16,B262)</x:f>
        <x:v>70</x:v>
      </x:c>
      <x:c r="K262" t="str">
        <x:f>IF(F262&gt;=J262,"Yes","No")</x:f>
        <x:v>No</x:v>
      </x:c>
    </x:row>
    <x:row r="263">
      <x:c r="A263" t="str">
        <x:v>S027</x:v>
      </x:c>
      <x:c r="B263" t="str">
        <x:v>Physics</x:v>
      </x:c>
      <x:c r="C263" t="str">
        <x:v>E101</x:v>
      </x:c>
      <x:c r="D263" t="str">
        <x:v>Midterm</x:v>
      </x:c>
      <x:c r="E263" t="str">
        <x:v>Term 1</x:v>
      </x:c>
      <x:c r="F263" s="34" t="n">
        <x:v>60.2</x:v>
      </x:c>
      <x:c r="G263" s="34" t="n">
        <x:v>100</x:v>
      </x:c>
      <x:c r="H263" t="str">
        <x:f>IF(F263="","",IF(F263&gt;=40,"Pass","Fail"))</x:f>
        <x:v>Pass</x:v>
      </x:c>
      <x:c r="I263" t="str">
        <x:f>VLOOKUP(A263,Students!$A$2:$F$31,5,FALSE)</x:f>
        <x:v>12C</x:v>
      </x:c>
      <x:c r="J263" t="n">
        <x:f>SUMIFS(Targets!$C$2:$C$16,Targets!$A$2:$A$16,I263,Targets!$B$2:$B$16,B263)</x:f>
        <x:v>80</x:v>
      </x:c>
      <x:c r="K263" t="str">
        <x:f>IF(F263&gt;=J263,"Yes","No")</x:f>
        <x:v>No</x:v>
      </x:c>
    </x:row>
    <x:row r="264">
      <x:c r="A264" t="str">
        <x:v>S027</x:v>
      </x:c>
      <x:c r="B264" t="str">
        <x:v>Chemistry</x:v>
      </x:c>
      <x:c r="C264" t="str">
        <x:v>E101</x:v>
      </x:c>
      <x:c r="D264" t="str">
        <x:v>Midterm</x:v>
      </x:c>
      <x:c r="E264" t="str">
        <x:v>Term 1</x:v>
      </x:c>
      <x:c r="F264" s="34" t="n">
        <x:v>52.1</x:v>
      </x:c>
      <x:c r="G264" s="34" t="n">
        <x:v>100</x:v>
      </x:c>
      <x:c r="H264" t="str">
        <x:f>IF(F264="","",IF(F264&gt;=40,"Pass","Fail"))</x:f>
        <x:v>Pass</x:v>
      </x:c>
      <x:c r="I264" t="str">
        <x:f>VLOOKUP(A264,Students!$A$2:$F$31,5,FALSE)</x:f>
        <x:v>12C</x:v>
      </x:c>
      <x:c r="J264" t="n">
        <x:f>SUMIFS(Targets!$C$2:$C$16,Targets!$A$2:$A$16,I264,Targets!$B$2:$B$16,B264)</x:f>
        <x:v>65</x:v>
      </x:c>
      <x:c r="K264" t="str">
        <x:f>IF(F264&gt;=J264,"Yes","No")</x:f>
        <x:v>No</x:v>
      </x:c>
    </x:row>
    <x:row r="265">
      <x:c r="A265" t="str">
        <x:v>S027</x:v>
      </x:c>
      <x:c r="B265" t="str">
        <x:v>English</x:v>
      </x:c>
      <x:c r="C265" t="str">
        <x:v>E101</x:v>
      </x:c>
      <x:c r="D265" t="str">
        <x:v>Midterm</x:v>
      </x:c>
      <x:c r="E265" t="str">
        <x:v>Term 1</x:v>
      </x:c>
      <x:c r="F265" s="34" t="n">
        <x:v>50.8</x:v>
      </x:c>
      <x:c r="G265" s="34" t="n">
        <x:v>100</x:v>
      </x:c>
      <x:c r="H265" t="str">
        <x:f>IF(F265="","",IF(F265&gt;=40,"Pass","Fail"))</x:f>
        <x:v>Pass</x:v>
      </x:c>
      <x:c r="I265" t="str">
        <x:f>VLOOKUP(A265,Students!$A$2:$F$31,5,FALSE)</x:f>
        <x:v>12C</x:v>
      </x:c>
      <x:c r="J265" t="n">
        <x:f>SUMIFS(Targets!$C$2:$C$16,Targets!$A$2:$A$16,I265,Targets!$B$2:$B$16,B265)</x:f>
        <x:v>70</x:v>
      </x:c>
      <x:c r="K265" t="str">
        <x:f>IF(F265&gt;=J265,"Yes","No")</x:f>
        <x:v>No</x:v>
      </x:c>
    </x:row>
    <x:row r="266">
      <x:c r="A266" t="str">
        <x:v>S027</x:v>
      </x:c>
      <x:c r="B266" t="str">
        <x:v>Computer Science</x:v>
      </x:c>
      <x:c r="C266" t="str">
        <x:v>E101</x:v>
      </x:c>
      <x:c r="D266" t="str">
        <x:v>Midterm</x:v>
      </x:c>
      <x:c r="E266" t="str">
        <x:v>Term 1</x:v>
      </x:c>
      <x:c r="F266" s="34" t="n">
        <x:v>65.9</x:v>
      </x:c>
      <x:c r="G266" s="34" t="n">
        <x:v>100</x:v>
      </x:c>
      <x:c r="H266" t="str">
        <x:f>IF(F266="","",IF(F266&gt;=40,"Pass","Fail"))</x:f>
        <x:v>Pass</x:v>
      </x:c>
      <x:c r="I266" t="str">
        <x:f>VLOOKUP(A266,Students!$A$2:$F$31,5,FALSE)</x:f>
        <x:v>12C</x:v>
      </x:c>
      <x:c r="J266" t="n">
        <x:f>SUMIFS(Targets!$C$2:$C$16,Targets!$A$2:$A$16,I266,Targets!$B$2:$B$16,B266)</x:f>
        <x:v>80</x:v>
      </x:c>
      <x:c r="K266" t="str">
        <x:f>IF(F266&gt;=J266,"Yes","No")</x:f>
        <x:v>No</x:v>
      </x:c>
    </x:row>
    <x:row r="267">
      <x:c r="A267" t="str">
        <x:v>S027</x:v>
      </x:c>
      <x:c r="B267" t="str">
        <x:v>Maths</x:v>
      </x:c>
      <x:c r="C267" t="str">
        <x:v>E102</x:v>
      </x:c>
      <x:c r="D267" t="str">
        <x:v>Final</x:v>
      </x:c>
      <x:c r="E267" t="str">
        <x:v>Term 2</x:v>
      </x:c>
      <x:c r="F267" s="34" t="n">
        <x:v>77.3</x:v>
      </x:c>
      <x:c r="G267" s="34" t="n">
        <x:v>100</x:v>
      </x:c>
      <x:c r="H267" t="str">
        <x:f>IF(F267="","",IF(F267&gt;=40,"Pass","Fail"))</x:f>
        <x:v>Pass</x:v>
      </x:c>
      <x:c r="I267" t="str">
        <x:f>VLOOKUP(A267,Students!$A$2:$F$31,5,FALSE)</x:f>
        <x:v>12C</x:v>
      </x:c>
      <x:c r="J267" t="n">
        <x:f>SUMIFS(Targets!$C$2:$C$16,Targets!$A$2:$A$16,I267,Targets!$B$2:$B$16,B267)</x:f>
        <x:v>70</x:v>
      </x:c>
      <x:c r="K267" t="str">
        <x:f>IF(F267&gt;=J267,"Yes","No")</x:f>
        <x:v>Yes</x:v>
      </x:c>
    </x:row>
    <x:row r="268">
      <x:c r="A268" t="str">
        <x:v>S027</x:v>
      </x:c>
      <x:c r="B268" t="str">
        <x:v>Physics</x:v>
      </x:c>
      <x:c r="C268" t="str">
        <x:v>E102</x:v>
      </x:c>
      <x:c r="D268" t="str">
        <x:v>Final</x:v>
      </x:c>
      <x:c r="E268" t="str">
        <x:v>Term 2</x:v>
      </x:c>
      <x:c r="F268" s="34" t="n">
        <x:v>62.2</x:v>
      </x:c>
      <x:c r="G268" s="34" t="n">
        <x:v>100</x:v>
      </x:c>
      <x:c r="H268" t="str">
        <x:f>IF(F268="","",IF(F268&gt;=40,"Pass","Fail"))</x:f>
        <x:v>Pass</x:v>
      </x:c>
      <x:c r="I268" t="str">
        <x:f>VLOOKUP(A268,Students!$A$2:$F$31,5,FALSE)</x:f>
        <x:v>12C</x:v>
      </x:c>
      <x:c r="J268" t="n">
        <x:f>SUMIFS(Targets!$C$2:$C$16,Targets!$A$2:$A$16,I268,Targets!$B$2:$B$16,B268)</x:f>
        <x:v>80</x:v>
      </x:c>
      <x:c r="K268" t="str">
        <x:f>IF(F268&gt;=J268,"Yes","No")</x:f>
        <x:v>No</x:v>
      </x:c>
    </x:row>
    <x:row r="269">
      <x:c r="A269" t="str">
        <x:v>S027</x:v>
      </x:c>
      <x:c r="B269" t="str">
        <x:v>Chemistry</x:v>
      </x:c>
      <x:c r="C269" t="str">
        <x:v>E102</x:v>
      </x:c>
      <x:c r="D269" t="str">
        <x:v>Final</x:v>
      </x:c>
      <x:c r="E269" t="str">
        <x:v>Term 2</x:v>
      </x:c>
      <x:c r="F269" s="34" t="n">
        <x:v>61.1</x:v>
      </x:c>
      <x:c r="G269" s="34" t="n">
        <x:v>100</x:v>
      </x:c>
      <x:c r="H269" t="str">
        <x:f>IF(F269="","",IF(F269&gt;=40,"Pass","Fail"))</x:f>
        <x:v>Pass</x:v>
      </x:c>
      <x:c r="I269" t="str">
        <x:f>VLOOKUP(A269,Students!$A$2:$F$31,5,FALSE)</x:f>
        <x:v>12C</x:v>
      </x:c>
      <x:c r="J269" t="n">
        <x:f>SUMIFS(Targets!$C$2:$C$16,Targets!$A$2:$A$16,I269,Targets!$B$2:$B$16,B269)</x:f>
        <x:v>65</x:v>
      </x:c>
      <x:c r="K269" t="str">
        <x:f>IF(F269&gt;=J269,"Yes","No")</x:f>
        <x:v>No</x:v>
      </x:c>
    </x:row>
    <x:row r="270">
      <x:c r="A270" t="str">
        <x:v>S027</x:v>
      </x:c>
      <x:c r="B270" t="str">
        <x:v>English</x:v>
      </x:c>
      <x:c r="C270" t="str">
        <x:v>E102</x:v>
      </x:c>
      <x:c r="D270" t="str">
        <x:v>Final</x:v>
      </x:c>
      <x:c r="E270" t="str">
        <x:v>Term 2</x:v>
      </x:c>
      <x:c r="F270" s="34" t="n">
        <x:v>66</x:v>
      </x:c>
      <x:c r="G270" s="34" t="n">
        <x:v>100</x:v>
      </x:c>
      <x:c r="H270" t="str">
        <x:f>IF(F270="","",IF(F270&gt;=40,"Pass","Fail"))</x:f>
        <x:v>Pass</x:v>
      </x:c>
      <x:c r="I270" t="str">
        <x:f>VLOOKUP(A270,Students!$A$2:$F$31,5,FALSE)</x:f>
        <x:v>12C</x:v>
      </x:c>
      <x:c r="J270" t="n">
        <x:f>SUMIFS(Targets!$C$2:$C$16,Targets!$A$2:$A$16,I270,Targets!$B$2:$B$16,B270)</x:f>
        <x:v>70</x:v>
      </x:c>
      <x:c r="K270" t="str">
        <x:f>IF(F270&gt;=J270,"Yes","No")</x:f>
        <x:v>No</x:v>
      </x:c>
    </x:row>
    <x:row r="271">
      <x:c r="A271" t="str">
        <x:v>S027</x:v>
      </x:c>
      <x:c r="B271" t="str">
        <x:v>Computer Science</x:v>
      </x:c>
      <x:c r="C271" t="str">
        <x:v>E102</x:v>
      </x:c>
      <x:c r="D271" t="str">
        <x:v>Final</x:v>
      </x:c>
      <x:c r="E271" t="str">
        <x:v>Term 2</x:v>
      </x:c>
      <x:c r="F271" s="34" t="n">
        <x:v>60.6</x:v>
      </x:c>
      <x:c r="G271" s="34" t="n">
        <x:v>100</x:v>
      </x:c>
      <x:c r="H271" t="str">
        <x:f>IF(F271="","",IF(F271&gt;=40,"Pass","Fail"))</x:f>
        <x:v>Pass</x:v>
      </x:c>
      <x:c r="I271" t="str">
        <x:f>VLOOKUP(A271,Students!$A$2:$F$31,5,FALSE)</x:f>
        <x:v>12C</x:v>
      </x:c>
      <x:c r="J271" t="n">
        <x:f>SUMIFS(Targets!$C$2:$C$16,Targets!$A$2:$A$16,I271,Targets!$B$2:$B$16,B271)</x:f>
        <x:v>80</x:v>
      </x:c>
      <x:c r="K271" t="str">
        <x:f>IF(F271&gt;=J271,"Yes","No")</x:f>
        <x:v>No</x:v>
      </x:c>
    </x:row>
    <x:row r="272">
      <x:c r="A272" t="str">
        <x:v>S028</x:v>
      </x:c>
      <x:c r="B272" t="str">
        <x:v>Maths</x:v>
      </x:c>
      <x:c r="C272" t="str">
        <x:v>E101</x:v>
      </x:c>
      <x:c r="D272" t="str">
        <x:v>Midterm</x:v>
      </x:c>
      <x:c r="E272" t="str">
        <x:v>Term 1</x:v>
      </x:c>
      <x:c r="F272" s="34" t="n">
        <x:v>70.4</x:v>
      </x:c>
      <x:c r="G272" s="34" t="n">
        <x:v>100</x:v>
      </x:c>
      <x:c r="H272" t="str">
        <x:f>IF(F272="","",IF(F272&gt;=40,"Pass","Fail"))</x:f>
        <x:v>Pass</x:v>
      </x:c>
      <x:c r="I272" t="str">
        <x:f>VLOOKUP(A272,Students!$A$2:$F$31,5,FALSE)</x:f>
        <x:v>12A</x:v>
      </x:c>
      <x:c r="J272" t="n">
        <x:f>SUMIFS(Targets!$C$2:$C$16,Targets!$A$2:$A$16,I272,Targets!$B$2:$B$16,B272)</x:f>
        <x:v>70</x:v>
      </x:c>
      <x:c r="K272" t="str">
        <x:f>IF(F272&gt;=J272,"Yes","No")</x:f>
        <x:v>Yes</x:v>
      </x:c>
    </x:row>
    <x:row r="273">
      <x:c r="A273" t="str">
        <x:v>S028</x:v>
      </x:c>
      <x:c r="B273" t="str">
        <x:v>Physics</x:v>
      </x:c>
      <x:c r="C273" t="str">
        <x:v>E101</x:v>
      </x:c>
      <x:c r="D273" t="str">
        <x:v>Midterm</x:v>
      </x:c>
      <x:c r="E273" t="str">
        <x:v>Term 1</x:v>
      </x:c>
      <x:c r="F273" s="34" t="n">
        <x:v>60.9</x:v>
      </x:c>
      <x:c r="G273" s="34" t="n">
        <x:v>100</x:v>
      </x:c>
      <x:c r="H273" t="str">
        <x:f>IF(F273="","",IF(F273&gt;=40,"Pass","Fail"))</x:f>
        <x:v>Pass</x:v>
      </x:c>
      <x:c r="I273" t="str">
        <x:f>VLOOKUP(A273,Students!$A$2:$F$31,5,FALSE)</x:f>
        <x:v>12A</x:v>
      </x:c>
      <x:c r="J273" t="n">
        <x:f>SUMIFS(Targets!$C$2:$C$16,Targets!$A$2:$A$16,I273,Targets!$B$2:$B$16,B273)</x:f>
        <x:v>60</x:v>
      </x:c>
      <x:c r="K273" t="str">
        <x:f>IF(F273&gt;=J273,"Yes","No")</x:f>
        <x:v>Yes</x:v>
      </x:c>
    </x:row>
    <x:row r="274">
      <x:c r="A274" t="str">
        <x:v>S028</x:v>
      </x:c>
      <x:c r="B274" t="str">
        <x:v>Chemistry</x:v>
      </x:c>
      <x:c r="C274" t="str">
        <x:v>E101</x:v>
      </x:c>
      <x:c r="D274" t="str">
        <x:v>Midterm</x:v>
      </x:c>
      <x:c r="E274" t="str">
        <x:v>Term 1</x:v>
      </x:c>
      <x:c r="F274" s="34" t="n">
        <x:v>60.7</x:v>
      </x:c>
      <x:c r="G274" s="34" t="n">
        <x:v>100</x:v>
      </x:c>
      <x:c r="H274" t="str">
        <x:f>IF(F274="","",IF(F274&gt;=40,"Pass","Fail"))</x:f>
        <x:v>Pass</x:v>
      </x:c>
      <x:c r="I274" t="str">
        <x:f>VLOOKUP(A274,Students!$A$2:$F$31,5,FALSE)</x:f>
        <x:v>12A</x:v>
      </x:c>
      <x:c r="J274" t="n">
        <x:f>SUMIFS(Targets!$C$2:$C$16,Targets!$A$2:$A$16,I274,Targets!$B$2:$B$16,B274)</x:f>
        <x:v>60</x:v>
      </x:c>
      <x:c r="K274" t="str">
        <x:f>IF(F274&gt;=J274,"Yes","No")</x:f>
        <x:v>Yes</x:v>
      </x:c>
    </x:row>
    <x:row r="275">
      <x:c r="A275" t="str">
        <x:v>S028</x:v>
      </x:c>
      <x:c r="B275" t="str">
        <x:v>English</x:v>
      </x:c>
      <x:c r="C275" t="str">
        <x:v>E101</x:v>
      </x:c>
      <x:c r="D275" t="str">
        <x:v>Midterm</x:v>
      </x:c>
      <x:c r="E275" t="str">
        <x:v>Term 1</x:v>
      </x:c>
      <x:c r="F275" s="34" t="n">
        <x:v>82.3</x:v>
      </x:c>
      <x:c r="G275" s="34" t="n">
        <x:v>100</x:v>
      </x:c>
      <x:c r="H275" t="str">
        <x:f>IF(F275="","",IF(F275&gt;=40,"Pass","Fail"))</x:f>
        <x:v>Pass</x:v>
      </x:c>
      <x:c r="I275" t="str">
        <x:f>VLOOKUP(A275,Students!$A$2:$F$31,5,FALSE)</x:f>
        <x:v>12A</x:v>
      </x:c>
      <x:c r="J275" t="n">
        <x:f>SUMIFS(Targets!$C$2:$C$16,Targets!$A$2:$A$16,I275,Targets!$B$2:$B$16,B275)</x:f>
        <x:v>60</x:v>
      </x:c>
      <x:c r="K275" t="str">
        <x:f>IF(F275&gt;=J275,"Yes","No")</x:f>
        <x:v>Yes</x:v>
      </x:c>
    </x:row>
    <x:row r="276">
      <x:c r="A276" t="str">
        <x:v>S028</x:v>
      </x:c>
      <x:c r="B276" t="str">
        <x:v>Computer Science</x:v>
      </x:c>
      <x:c r="C276" t="str">
        <x:v>E101</x:v>
      </x:c>
      <x:c r="D276" t="str">
        <x:v>Midterm</x:v>
      </x:c>
      <x:c r="E276" t="str">
        <x:v>Term 1</x:v>
      </x:c>
      <x:c r="F276" s="34" t="n">
        <x:v>90.1</x:v>
      </x:c>
      <x:c r="G276" s="34" t="n">
        <x:v>100</x:v>
      </x:c>
      <x:c r="H276" t="str">
        <x:f>IF(F276="","",IF(F276&gt;=40,"Pass","Fail"))</x:f>
        <x:v>Pass</x:v>
      </x:c>
      <x:c r="I276" t="str">
        <x:f>VLOOKUP(A276,Students!$A$2:$F$31,5,FALSE)</x:f>
        <x:v>12A</x:v>
      </x:c>
      <x:c r="J276" t="n">
        <x:f>SUMIFS(Targets!$C$2:$C$16,Targets!$A$2:$A$16,I276,Targets!$B$2:$B$16,B276)</x:f>
        <x:v>80</x:v>
      </x:c>
      <x:c r="K276" t="str">
        <x:f>IF(F276&gt;=J276,"Yes","No")</x:f>
        <x:v>Yes</x:v>
      </x:c>
    </x:row>
    <x:row r="277">
      <x:c r="A277" t="str">
        <x:v>S028</x:v>
      </x:c>
      <x:c r="B277" t="str">
        <x:v>Maths</x:v>
      </x:c>
      <x:c r="C277" t="str">
        <x:v>E102</x:v>
      </x:c>
      <x:c r="D277" t="str">
        <x:v>Final</x:v>
      </x:c>
      <x:c r="E277" t="str">
        <x:v>Term 2</x:v>
      </x:c>
      <x:c r="F277" s="34" t="n">
        <x:v>77.8</x:v>
      </x:c>
      <x:c r="G277" s="34" t="n">
        <x:v>100</x:v>
      </x:c>
      <x:c r="H277" t="str">
        <x:f>IF(F277="","",IF(F277&gt;=40,"Pass","Fail"))</x:f>
        <x:v>Pass</x:v>
      </x:c>
      <x:c r="I277" t="str">
        <x:f>VLOOKUP(A277,Students!$A$2:$F$31,5,FALSE)</x:f>
        <x:v>12A</x:v>
      </x:c>
      <x:c r="J277" t="n">
        <x:f>SUMIFS(Targets!$C$2:$C$16,Targets!$A$2:$A$16,I277,Targets!$B$2:$B$16,B277)</x:f>
        <x:v>70</x:v>
      </x:c>
      <x:c r="K277" t="str">
        <x:f>IF(F277&gt;=J277,"Yes","No")</x:f>
        <x:v>Yes</x:v>
      </x:c>
    </x:row>
    <x:row r="278">
      <x:c r="A278" t="str">
        <x:v>S028</x:v>
      </x:c>
      <x:c r="B278" t="str">
        <x:v>Physics</x:v>
      </x:c>
      <x:c r="C278" t="str">
        <x:v>E102</x:v>
      </x:c>
      <x:c r="D278" t="str">
        <x:v>Final</x:v>
      </x:c>
      <x:c r="E278" t="str">
        <x:v>Term 2</x:v>
      </x:c>
      <x:c r="F278" s="34" t="n">
        <x:v>71.3</x:v>
      </x:c>
      <x:c r="G278" s="34" t="n">
        <x:v>100</x:v>
      </x:c>
      <x:c r="H278" t="str">
        <x:f>IF(F278="","",IF(F278&gt;=40,"Pass","Fail"))</x:f>
        <x:v>Pass</x:v>
      </x:c>
      <x:c r="I278" t="str">
        <x:f>VLOOKUP(A278,Students!$A$2:$F$31,5,FALSE)</x:f>
        <x:v>12A</x:v>
      </x:c>
      <x:c r="J278" t="n">
        <x:f>SUMIFS(Targets!$C$2:$C$16,Targets!$A$2:$A$16,I278,Targets!$B$2:$B$16,B278)</x:f>
        <x:v>60</x:v>
      </x:c>
      <x:c r="K278" t="str">
        <x:f>IF(F278&gt;=J278,"Yes","No")</x:f>
        <x:v>Yes</x:v>
      </x:c>
    </x:row>
    <x:row r="279">
      <x:c r="A279" t="str">
        <x:v>S028</x:v>
      </x:c>
      <x:c r="B279" t="str">
        <x:v>Chemistry</x:v>
      </x:c>
      <x:c r="C279" t="str">
        <x:v>E102</x:v>
      </x:c>
      <x:c r="D279" t="str">
        <x:v>Final</x:v>
      </x:c>
      <x:c r="E279" t="str">
        <x:v>Term 2</x:v>
      </x:c>
      <x:c r="F279" s="34" t="n">
        <x:v>81.1</x:v>
      </x:c>
      <x:c r="G279" s="34" t="n">
        <x:v>100</x:v>
      </x:c>
      <x:c r="H279" t="str">
        <x:f>IF(F279="","",IF(F279&gt;=40,"Pass","Fail"))</x:f>
        <x:v>Pass</x:v>
      </x:c>
      <x:c r="I279" t="str">
        <x:f>VLOOKUP(A279,Students!$A$2:$F$31,5,FALSE)</x:f>
        <x:v>12A</x:v>
      </x:c>
      <x:c r="J279" t="n">
        <x:f>SUMIFS(Targets!$C$2:$C$16,Targets!$A$2:$A$16,I279,Targets!$B$2:$B$16,B279)</x:f>
        <x:v>60</x:v>
      </x:c>
      <x:c r="K279" t="str">
        <x:f>IF(F279&gt;=J279,"Yes","No")</x:f>
        <x:v>Yes</x:v>
      </x:c>
    </x:row>
    <x:row r="280">
      <x:c r="A280" t="str">
        <x:v>S028</x:v>
      </x:c>
      <x:c r="B280" t="str">
        <x:v>English</x:v>
      </x:c>
      <x:c r="C280" t="str">
        <x:v>E102</x:v>
      </x:c>
      <x:c r="D280" t="str">
        <x:v>Final</x:v>
      </x:c>
      <x:c r="E280" t="str">
        <x:v>Term 2</x:v>
      </x:c>
      <x:c r="F280" s="34" t="n">
        <x:v>83.3</x:v>
      </x:c>
      <x:c r="G280" s="34" t="n">
        <x:v>100</x:v>
      </x:c>
      <x:c r="H280" t="str">
        <x:f>IF(F280="","",IF(F280&gt;=40,"Pass","Fail"))</x:f>
        <x:v>Pass</x:v>
      </x:c>
      <x:c r="I280" t="str">
        <x:f>VLOOKUP(A280,Students!$A$2:$F$31,5,FALSE)</x:f>
        <x:v>12A</x:v>
      </x:c>
      <x:c r="J280" t="n">
        <x:f>SUMIFS(Targets!$C$2:$C$16,Targets!$A$2:$A$16,I280,Targets!$B$2:$B$16,B280)</x:f>
        <x:v>60</x:v>
      </x:c>
      <x:c r="K280" t="str">
        <x:f>IF(F280&gt;=J280,"Yes","No")</x:f>
        <x:v>Yes</x:v>
      </x:c>
    </x:row>
    <x:row r="281">
      <x:c r="A281" t="str">
        <x:v>S028</x:v>
      </x:c>
      <x:c r="B281" t="str">
        <x:v>Computer Science</x:v>
      </x:c>
      <x:c r="C281" t="str">
        <x:v>E102</x:v>
      </x:c>
      <x:c r="D281" t="str">
        <x:v>Final</x:v>
      </x:c>
      <x:c r="E281" t="str">
        <x:v>Term 2</x:v>
      </x:c>
      <x:c r="F281" s="34" t="n">
        <x:v>87.7</x:v>
      </x:c>
      <x:c r="G281" s="34" t="n">
        <x:v>100</x:v>
      </x:c>
      <x:c r="H281" t="str">
        <x:f>IF(F281="","",IF(F281&gt;=40,"Pass","Fail"))</x:f>
        <x:v>Pass</x:v>
      </x:c>
      <x:c r="I281" t="str">
        <x:f>VLOOKUP(A281,Students!$A$2:$F$31,5,FALSE)</x:f>
        <x:v>12A</x:v>
      </x:c>
      <x:c r="J281" t="n">
        <x:f>SUMIFS(Targets!$C$2:$C$16,Targets!$A$2:$A$16,I281,Targets!$B$2:$B$16,B281)</x:f>
        <x:v>80</x:v>
      </x:c>
      <x:c r="K281" t="str">
        <x:f>IF(F281&gt;=J281,"Yes","No")</x:f>
        <x:v>Yes</x:v>
      </x:c>
    </x:row>
    <x:row r="282">
      <x:c r="A282" t="str">
        <x:v>S029</x:v>
      </x:c>
      <x:c r="B282" t="str">
        <x:v>Maths</x:v>
      </x:c>
      <x:c r="C282" t="str">
        <x:v>E101</x:v>
      </x:c>
      <x:c r="D282" t="str">
        <x:v>Midterm</x:v>
      </x:c>
      <x:c r="E282" t="str">
        <x:v>Term 1</x:v>
      </x:c>
      <x:c r="F282" s="34" t="n">
        <x:v>67.1</x:v>
      </x:c>
      <x:c r="G282" s="34" t="n">
        <x:v>100</x:v>
      </x:c>
      <x:c r="H282" t="str">
        <x:f>IF(F282="","",IF(F282&gt;=40,"Pass","Fail"))</x:f>
        <x:v>Pass</x:v>
      </x:c>
      <x:c r="I282" t="str">
        <x:f>VLOOKUP(A282,Students!$A$2:$F$31,5,FALSE)</x:f>
        <x:v>12B</x:v>
      </x:c>
      <x:c r="J282" t="n">
        <x:f>SUMIFS(Targets!$C$2:$C$16,Targets!$A$2:$A$16,I282,Targets!$B$2:$B$16,B282)</x:f>
        <x:v>75</x:v>
      </x:c>
      <x:c r="K282" t="str">
        <x:f>IF(F282&gt;=J282,"Yes","No")</x:f>
        <x:v>No</x:v>
      </x:c>
    </x:row>
    <x:row r="283">
      <x:c r="A283" t="str">
        <x:v>S029</x:v>
      </x:c>
      <x:c r="B283" t="str">
        <x:v>Physics</x:v>
      </x:c>
      <x:c r="C283" t="str">
        <x:v>E101</x:v>
      </x:c>
      <x:c r="D283" t="str">
        <x:v>Midterm</x:v>
      </x:c>
      <x:c r="E283" t="str">
        <x:v>Term 1</x:v>
      </x:c>
      <x:c r="F283" s="34" t="n">
        <x:v>52.2</x:v>
      </x:c>
      <x:c r="G283" s="34" t="n">
        <x:v>100</x:v>
      </x:c>
      <x:c r="H283" t="str">
        <x:f>IF(F283="","",IF(F283&gt;=40,"Pass","Fail"))</x:f>
        <x:v>Pass</x:v>
      </x:c>
      <x:c r="I283" t="str">
        <x:f>VLOOKUP(A283,Students!$A$2:$F$31,5,FALSE)</x:f>
        <x:v>12B</x:v>
      </x:c>
      <x:c r="J283" t="n">
        <x:f>SUMIFS(Targets!$C$2:$C$16,Targets!$A$2:$A$16,I283,Targets!$B$2:$B$16,B283)</x:f>
        <x:v>80</x:v>
      </x:c>
      <x:c r="K283" t="str">
        <x:f>IF(F283&gt;=J283,"Yes","No")</x:f>
        <x:v>No</x:v>
      </x:c>
    </x:row>
    <x:row r="284">
      <x:c r="A284" t="str">
        <x:v>S029</x:v>
      </x:c>
      <x:c r="B284" t="str">
        <x:v>Chemistry</x:v>
      </x:c>
      <x:c r="C284" t="str">
        <x:v>E101</x:v>
      </x:c>
      <x:c r="D284" t="str">
        <x:v>Midterm</x:v>
      </x:c>
      <x:c r="E284" t="str">
        <x:v>Term 1</x:v>
      </x:c>
      <x:c r="F284" s="34" t="n">
        <x:v>74.1</x:v>
      </x:c>
      <x:c r="G284" s="34" t="n">
        <x:v>100</x:v>
      </x:c>
      <x:c r="H284" t="str">
        <x:f>IF(F284="","",IF(F284&gt;=40,"Pass","Fail"))</x:f>
        <x:v>Pass</x:v>
      </x:c>
      <x:c r="I284" t="str">
        <x:f>VLOOKUP(A284,Students!$A$2:$F$31,5,FALSE)</x:f>
        <x:v>12B</x:v>
      </x:c>
      <x:c r="J284" t="n">
        <x:f>SUMIFS(Targets!$C$2:$C$16,Targets!$A$2:$A$16,I284,Targets!$B$2:$B$16,B284)</x:f>
        <x:v>75</x:v>
      </x:c>
      <x:c r="K284" t="str">
        <x:f>IF(F284&gt;=J284,"Yes","No")</x:f>
        <x:v>No</x:v>
      </x:c>
    </x:row>
    <x:row r="285">
      <x:c r="A285" t="str">
        <x:v>S029</x:v>
      </x:c>
      <x:c r="B285" t="str">
        <x:v>English</x:v>
      </x:c>
      <x:c r="C285" t="str">
        <x:v>E101</x:v>
      </x:c>
      <x:c r="D285" t="str">
        <x:v>Midterm</x:v>
      </x:c>
      <x:c r="E285" t="str">
        <x:v>Term 1</x:v>
      </x:c>
      <x:c r="F285" s="34" t="n">
        <x:v>72.4</x:v>
      </x:c>
      <x:c r="G285" s="34" t="n">
        <x:v>100</x:v>
      </x:c>
      <x:c r="H285" t="str">
        <x:f>IF(F285="","",IF(F285&gt;=40,"Pass","Fail"))</x:f>
        <x:v>Pass</x:v>
      </x:c>
      <x:c r="I285" t="str">
        <x:f>VLOOKUP(A285,Students!$A$2:$F$31,5,FALSE)</x:f>
        <x:v>12B</x:v>
      </x:c>
      <x:c r="J285" t="n">
        <x:f>SUMIFS(Targets!$C$2:$C$16,Targets!$A$2:$A$16,I285,Targets!$B$2:$B$16,B285)</x:f>
        <x:v>80</x:v>
      </x:c>
      <x:c r="K285" t="str">
        <x:f>IF(F285&gt;=J285,"Yes","No")</x:f>
        <x:v>No</x:v>
      </x:c>
    </x:row>
    <x:row r="286">
      <x:c r="A286" t="str">
        <x:v>S029</x:v>
      </x:c>
      <x:c r="B286" t="str">
        <x:v>Computer Science</x:v>
      </x:c>
      <x:c r="C286" t="str">
        <x:v>E101</x:v>
      </x:c>
      <x:c r="D286" t="str">
        <x:v>Midterm</x:v>
      </x:c>
      <x:c r="E286" t="str">
        <x:v>Term 1</x:v>
      </x:c>
      <x:c r="F286" s="34" t="n">
        <x:v>88.9</x:v>
      </x:c>
      <x:c r="G286" s="34" t="n">
        <x:v>100</x:v>
      </x:c>
      <x:c r="H286" t="str">
        <x:f>IF(F286="","",IF(F286&gt;=40,"Pass","Fail"))</x:f>
        <x:v>Pass</x:v>
      </x:c>
      <x:c r="I286" t="str">
        <x:f>VLOOKUP(A286,Students!$A$2:$F$31,5,FALSE)</x:f>
        <x:v>12B</x:v>
      </x:c>
      <x:c r="J286" t="n">
        <x:f>SUMIFS(Targets!$C$2:$C$16,Targets!$A$2:$A$16,I286,Targets!$B$2:$B$16,B286)</x:f>
        <x:v>80</x:v>
      </x:c>
      <x:c r="K286" t="str">
        <x:f>IF(F286&gt;=J286,"Yes","No")</x:f>
        <x:v>Yes</x:v>
      </x:c>
    </x:row>
    <x:row r="287">
      <x:c r="A287" t="str">
        <x:v>S029</x:v>
      </x:c>
      <x:c r="B287" t="str">
        <x:v>Maths</x:v>
      </x:c>
      <x:c r="C287" t="str">
        <x:v>E102</x:v>
      </x:c>
      <x:c r="D287" t="str">
        <x:v>Final</x:v>
      </x:c>
      <x:c r="E287" t="str">
        <x:v>Term 2</x:v>
      </x:c>
      <x:c r="F287" s="34" t="n">
        <x:v>69.4</x:v>
      </x:c>
      <x:c r="G287" s="34" t="n">
        <x:v>100</x:v>
      </x:c>
      <x:c r="H287" t="str">
        <x:f>IF(F287="","",IF(F287&gt;=40,"Pass","Fail"))</x:f>
        <x:v>Pass</x:v>
      </x:c>
      <x:c r="I287" t="str">
        <x:f>VLOOKUP(A287,Students!$A$2:$F$31,5,FALSE)</x:f>
        <x:v>12B</x:v>
      </x:c>
      <x:c r="J287" t="n">
        <x:f>SUMIFS(Targets!$C$2:$C$16,Targets!$A$2:$A$16,I287,Targets!$B$2:$B$16,B287)</x:f>
        <x:v>75</x:v>
      </x:c>
      <x:c r="K287" t="str">
        <x:f>IF(F287&gt;=J287,"Yes","No")</x:f>
        <x:v>No</x:v>
      </x:c>
    </x:row>
    <x:row r="288">
      <x:c r="A288" t="str">
        <x:v>S029</x:v>
      </x:c>
      <x:c r="B288" t="str">
        <x:v>Physics</x:v>
      </x:c>
      <x:c r="C288" t="str">
        <x:v>E102</x:v>
      </x:c>
      <x:c r="D288" t="str">
        <x:v>Final</x:v>
      </x:c>
      <x:c r="E288" t="str">
        <x:v>Term 2</x:v>
      </x:c>
      <x:c r="F288" s="34" t="n">
        <x:v>56.9</x:v>
      </x:c>
      <x:c r="G288" s="34" t="n">
        <x:v>100</x:v>
      </x:c>
      <x:c r="H288" t="str">
        <x:f>IF(F288="","",IF(F288&gt;=40,"Pass","Fail"))</x:f>
        <x:v>Pass</x:v>
      </x:c>
      <x:c r="I288" t="str">
        <x:f>VLOOKUP(A288,Students!$A$2:$F$31,5,FALSE)</x:f>
        <x:v>12B</x:v>
      </x:c>
      <x:c r="J288" t="n">
        <x:f>SUMIFS(Targets!$C$2:$C$16,Targets!$A$2:$A$16,I288,Targets!$B$2:$B$16,B288)</x:f>
        <x:v>80</x:v>
      </x:c>
      <x:c r="K288" t="str">
        <x:f>IF(F288&gt;=J288,"Yes","No")</x:f>
        <x:v>No</x:v>
      </x:c>
    </x:row>
    <x:row r="289">
      <x:c r="A289" t="str">
        <x:v>S029</x:v>
      </x:c>
      <x:c r="B289" t="str">
        <x:v>Chemistry</x:v>
      </x:c>
      <x:c r="C289" t="str">
        <x:v>E102</x:v>
      </x:c>
      <x:c r="D289" t="str">
        <x:v>Final</x:v>
      </x:c>
      <x:c r="E289" t="str">
        <x:v>Term 2</x:v>
      </x:c>
      <x:c r="F289" s="34" t="n">
        <x:v>71.9</x:v>
      </x:c>
      <x:c r="G289" s="34" t="n">
        <x:v>100</x:v>
      </x:c>
      <x:c r="H289" t="str">
        <x:f>IF(F289="","",IF(F289&gt;=40,"Pass","Fail"))</x:f>
        <x:v>Pass</x:v>
      </x:c>
      <x:c r="I289" t="str">
        <x:f>VLOOKUP(A289,Students!$A$2:$F$31,5,FALSE)</x:f>
        <x:v>12B</x:v>
      </x:c>
      <x:c r="J289" t="n">
        <x:f>SUMIFS(Targets!$C$2:$C$16,Targets!$A$2:$A$16,I289,Targets!$B$2:$B$16,B289)</x:f>
        <x:v>75</x:v>
      </x:c>
      <x:c r="K289" t="str">
        <x:f>IF(F289&gt;=J289,"Yes","No")</x:f>
        <x:v>No</x:v>
      </x:c>
    </x:row>
    <x:row r="290">
      <x:c r="A290" t="str">
        <x:v>S029</x:v>
      </x:c>
      <x:c r="B290" t="str">
        <x:v>English</x:v>
      </x:c>
      <x:c r="C290" t="str">
        <x:v>E102</x:v>
      </x:c>
      <x:c r="D290" t="str">
        <x:v>Final</x:v>
      </x:c>
      <x:c r="E290" t="str">
        <x:v>Term 2</x:v>
      </x:c>
      <x:c r="F290" s="34" t="n">
        <x:v>67.7</x:v>
      </x:c>
      <x:c r="G290" s="34" t="n">
        <x:v>100</x:v>
      </x:c>
      <x:c r="H290" t="str">
        <x:f>IF(F290="","",IF(F290&gt;=40,"Pass","Fail"))</x:f>
        <x:v>Pass</x:v>
      </x:c>
      <x:c r="I290" t="str">
        <x:f>VLOOKUP(A290,Students!$A$2:$F$31,5,FALSE)</x:f>
        <x:v>12B</x:v>
      </x:c>
      <x:c r="J290" t="n">
        <x:f>SUMIFS(Targets!$C$2:$C$16,Targets!$A$2:$A$16,I290,Targets!$B$2:$B$16,B290)</x:f>
        <x:v>80</x:v>
      </x:c>
      <x:c r="K290" t="str">
        <x:f>IF(F290&gt;=J290,"Yes","No")</x:f>
        <x:v>No</x:v>
      </x:c>
    </x:row>
    <x:row r="291">
      <x:c r="A291" t="str">
        <x:v>S029</x:v>
      </x:c>
      <x:c r="B291" t="str">
        <x:v>Computer Science</x:v>
      </x:c>
      <x:c r="C291" t="str">
        <x:v>E102</x:v>
      </x:c>
      <x:c r="D291" t="str">
        <x:v>Final</x:v>
      </x:c>
      <x:c r="E291" t="str">
        <x:v>Term 2</x:v>
      </x:c>
      <x:c r="F291" s="34" t="n">
        <x:v>96.5</x:v>
      </x:c>
      <x:c r="G291" s="34" t="n">
        <x:v>100</x:v>
      </x:c>
      <x:c r="H291" t="str">
        <x:f>IF(F291="","",IF(F291&gt;=40,"Pass","Fail"))</x:f>
        <x:v>Pass</x:v>
      </x:c>
      <x:c r="I291" t="str">
        <x:f>VLOOKUP(A291,Students!$A$2:$F$31,5,FALSE)</x:f>
        <x:v>12B</x:v>
      </x:c>
      <x:c r="J291" t="n">
        <x:f>SUMIFS(Targets!$C$2:$C$16,Targets!$A$2:$A$16,I291,Targets!$B$2:$B$16,B291)</x:f>
        <x:v>80</x:v>
      </x:c>
      <x:c r="K291" t="str">
        <x:f>IF(F291&gt;=J291,"Yes","No")</x:f>
        <x:v>Yes</x:v>
      </x:c>
    </x:row>
    <x:row r="292">
      <x:c r="A292" t="str">
        <x:v>S030</x:v>
      </x:c>
      <x:c r="B292" t="str">
        <x:v>Maths</x:v>
      </x:c>
      <x:c r="C292" t="str">
        <x:v>E101</x:v>
      </x:c>
      <x:c r="D292" t="str">
        <x:v>Midterm</x:v>
      </x:c>
      <x:c r="E292" t="str">
        <x:v>Term 1</x:v>
      </x:c>
      <x:c r="F292" s="34" t="n">
        <x:v>76.2</x:v>
      </x:c>
      <x:c r="G292" s="34" t="n">
        <x:v>100</x:v>
      </x:c>
      <x:c r="H292" t="str">
        <x:f>IF(F292="","",IF(F292&gt;=40,"Pass","Fail"))</x:f>
        <x:v>Pass</x:v>
      </x:c>
      <x:c r="I292" t="str">
        <x:f>VLOOKUP(A292,Students!$A$2:$F$31,5,FALSE)</x:f>
        <x:v>12A</x:v>
      </x:c>
      <x:c r="J292" t="n">
        <x:f>SUMIFS(Targets!$C$2:$C$16,Targets!$A$2:$A$16,I292,Targets!$B$2:$B$16,B292)</x:f>
        <x:v>70</x:v>
      </x:c>
      <x:c r="K292" t="str">
        <x:f>IF(F292&gt;=J292,"Yes","No")</x:f>
        <x:v>Yes</x:v>
      </x:c>
    </x:row>
    <x:row r="293">
      <x:c r="A293" t="str">
        <x:v>S030</x:v>
      </x:c>
      <x:c r="B293" t="str">
        <x:v>Physics</x:v>
      </x:c>
      <x:c r="C293" t="str">
        <x:v>E101</x:v>
      </x:c>
      <x:c r="D293" t="str">
        <x:v>Midterm</x:v>
      </x:c>
      <x:c r="E293" t="str">
        <x:v>Term 1</x:v>
      </x:c>
      <x:c r="F293" s="34" t="n">
        <x:v>74.1</x:v>
      </x:c>
      <x:c r="G293" s="34" t="n">
        <x:v>100</x:v>
      </x:c>
      <x:c r="H293" t="str">
        <x:f>IF(F293="","",IF(F293&gt;=40,"Pass","Fail"))</x:f>
        <x:v>Pass</x:v>
      </x:c>
      <x:c r="I293" t="str">
        <x:f>VLOOKUP(A293,Students!$A$2:$F$31,5,FALSE)</x:f>
        <x:v>12A</x:v>
      </x:c>
      <x:c r="J293" t="n">
        <x:f>SUMIFS(Targets!$C$2:$C$16,Targets!$A$2:$A$16,I293,Targets!$B$2:$B$16,B293)</x:f>
        <x:v>60</x:v>
      </x:c>
      <x:c r="K293" t="str">
        <x:f>IF(F293&gt;=J293,"Yes","No")</x:f>
        <x:v>Yes</x:v>
      </x:c>
    </x:row>
    <x:row r="294">
      <x:c r="A294" t="str">
        <x:v>S030</x:v>
      </x:c>
      <x:c r="B294" t="str">
        <x:v>Chemistry</x:v>
      </x:c>
      <x:c r="C294" t="str">
        <x:v>E101</x:v>
      </x:c>
      <x:c r="D294" t="str">
        <x:v>Midterm</x:v>
      </x:c>
      <x:c r="E294" t="str">
        <x:v>Term 1</x:v>
      </x:c>
      <x:c r="F294" s="34" t="n">
        <x:v>79.2</x:v>
      </x:c>
      <x:c r="G294" s="34" t="n">
        <x:v>100</x:v>
      </x:c>
      <x:c r="H294" t="str">
        <x:f>IF(F294="","",IF(F294&gt;=40,"Pass","Fail"))</x:f>
        <x:v>Pass</x:v>
      </x:c>
      <x:c r="I294" t="str">
        <x:f>VLOOKUP(A294,Students!$A$2:$F$31,5,FALSE)</x:f>
        <x:v>12A</x:v>
      </x:c>
      <x:c r="J294" t="n">
        <x:f>SUMIFS(Targets!$C$2:$C$16,Targets!$A$2:$A$16,I294,Targets!$B$2:$B$16,B294)</x:f>
        <x:v>60</x:v>
      </x:c>
      <x:c r="K294" t="str">
        <x:f>IF(F294&gt;=J294,"Yes","No")</x:f>
        <x:v>Yes</x:v>
      </x:c>
    </x:row>
    <x:row r="295">
      <x:c r="A295" t="str">
        <x:v>S030</x:v>
      </x:c>
      <x:c r="B295" t="str">
        <x:v>English</x:v>
      </x:c>
      <x:c r="C295" t="str">
        <x:v>E101</x:v>
      </x:c>
      <x:c r="D295" t="str">
        <x:v>Midterm</x:v>
      </x:c>
      <x:c r="E295" t="str">
        <x:v>Term 1</x:v>
      </x:c>
      <x:c r="F295" s="34" t="n">
        <x:v>87.1</x:v>
      </x:c>
      <x:c r="G295" s="34" t="n">
        <x:v>100</x:v>
      </x:c>
      <x:c r="H295" t="str">
        <x:f>IF(F295="","",IF(F295&gt;=40,"Pass","Fail"))</x:f>
        <x:v>Pass</x:v>
      </x:c>
      <x:c r="I295" t="str">
        <x:f>VLOOKUP(A295,Students!$A$2:$F$31,5,FALSE)</x:f>
        <x:v>12A</x:v>
      </x:c>
      <x:c r="J295" t="n">
        <x:f>SUMIFS(Targets!$C$2:$C$16,Targets!$A$2:$A$16,I295,Targets!$B$2:$B$16,B295)</x:f>
        <x:v>60</x:v>
      </x:c>
      <x:c r="K295" t="str">
        <x:f>IF(F295&gt;=J295,"Yes","No")</x:f>
        <x:v>Yes</x:v>
      </x:c>
    </x:row>
    <x:row r="296">
      <x:c r="A296" t="str">
        <x:v>S030</x:v>
      </x:c>
      <x:c r="B296" t="str">
        <x:v>Computer Science</x:v>
      </x:c>
      <x:c r="C296" t="str">
        <x:v>E101</x:v>
      </x:c>
      <x:c r="D296" t="str">
        <x:v>Midterm</x:v>
      </x:c>
      <x:c r="E296" t="str">
        <x:v>Term 1</x:v>
      </x:c>
      <x:c r="F296" s="34" t="n">
        <x:v>68.4</x:v>
      </x:c>
      <x:c r="G296" s="34" t="n">
        <x:v>100</x:v>
      </x:c>
      <x:c r="H296" t="str">
        <x:f>IF(F296="","",IF(F296&gt;=40,"Pass","Fail"))</x:f>
        <x:v>Pass</x:v>
      </x:c>
      <x:c r="I296" t="str">
        <x:f>VLOOKUP(A296,Students!$A$2:$F$31,5,FALSE)</x:f>
        <x:v>12A</x:v>
      </x:c>
      <x:c r="J296" t="n">
        <x:f>SUMIFS(Targets!$C$2:$C$16,Targets!$A$2:$A$16,I296,Targets!$B$2:$B$16,B296)</x:f>
        <x:v>80</x:v>
      </x:c>
      <x:c r="K296" t="str">
        <x:f>IF(F296&gt;=J296,"Yes","No")</x:f>
        <x:v>No</x:v>
      </x:c>
    </x:row>
    <x:row r="297">
      <x:c r="A297" t="str">
        <x:v>S030</x:v>
      </x:c>
      <x:c r="B297" t="str">
        <x:v>Maths</x:v>
      </x:c>
      <x:c r="C297" t="str">
        <x:v>E102</x:v>
      </x:c>
      <x:c r="D297" t="str">
        <x:v>Final</x:v>
      </x:c>
      <x:c r="E297" t="str">
        <x:v>Term 2</x:v>
      </x:c>
      <x:c r="F297" s="34" t="n">
        <x:v>55.6</x:v>
      </x:c>
      <x:c r="G297" s="34" t="n">
        <x:v>100</x:v>
      </x:c>
      <x:c r="H297" t="str">
        <x:f>IF(F297="","",IF(F297&gt;=40,"Pass","Fail"))</x:f>
        <x:v>Pass</x:v>
      </x:c>
      <x:c r="I297" t="str">
        <x:f>VLOOKUP(A297,Students!$A$2:$F$31,5,FALSE)</x:f>
        <x:v>12A</x:v>
      </x:c>
      <x:c r="J297" t="n">
        <x:f>SUMIFS(Targets!$C$2:$C$16,Targets!$A$2:$A$16,I297,Targets!$B$2:$B$16,B297)</x:f>
        <x:v>70</x:v>
      </x:c>
      <x:c r="K297" t="str">
        <x:f>IF(F297&gt;=J297,"Yes","No")</x:f>
        <x:v>No</x:v>
      </x:c>
    </x:row>
    <x:row r="298">
      <x:c r="A298" t="str">
        <x:v>S030</x:v>
      </x:c>
      <x:c r="B298" t="str">
        <x:v>Physics</x:v>
      </x:c>
      <x:c r="C298" t="str">
        <x:v>E102</x:v>
      </x:c>
      <x:c r="D298" t="str">
        <x:v>Final</x:v>
      </x:c>
      <x:c r="E298" t="str">
        <x:v>Term 2</x:v>
      </x:c>
      <x:c r="F298" s="34" t="n">
        <x:v>60.3</x:v>
      </x:c>
      <x:c r="G298" s="34" t="n">
        <x:v>100</x:v>
      </x:c>
      <x:c r="H298" t="str">
        <x:f>IF(F298="","",IF(F298&gt;=40,"Pass","Fail"))</x:f>
        <x:v>Pass</x:v>
      </x:c>
      <x:c r="I298" t="str">
        <x:f>VLOOKUP(A298,Students!$A$2:$F$31,5,FALSE)</x:f>
        <x:v>12A</x:v>
      </x:c>
      <x:c r="J298" t="n">
        <x:f>SUMIFS(Targets!$C$2:$C$16,Targets!$A$2:$A$16,I298,Targets!$B$2:$B$16,B298)</x:f>
        <x:v>60</x:v>
      </x:c>
      <x:c r="K298" t="str">
        <x:f>IF(F298&gt;=J298,"Yes","No")</x:f>
        <x:v>Yes</x:v>
      </x:c>
    </x:row>
    <x:row r="299">
      <x:c r="A299" t="str">
        <x:v>S030</x:v>
      </x:c>
      <x:c r="B299" t="str">
        <x:v>Chemistry</x:v>
      </x:c>
      <x:c r="C299" t="str">
        <x:v>E102</x:v>
      </x:c>
      <x:c r="D299" t="str">
        <x:v>Final</x:v>
      </x:c>
      <x:c r="E299" t="str">
        <x:v>Term 2</x:v>
      </x:c>
      <x:c r="F299" s="34" t="n">
        <x:v>70.3</x:v>
      </x:c>
      <x:c r="G299" s="34" t="n">
        <x:v>100</x:v>
      </x:c>
      <x:c r="H299" t="str">
        <x:f>IF(F299="","",IF(F299&gt;=40,"Pass","Fail"))</x:f>
        <x:v>Pass</x:v>
      </x:c>
      <x:c r="I299" t="str">
        <x:f>VLOOKUP(A299,Students!$A$2:$F$31,5,FALSE)</x:f>
        <x:v>12A</x:v>
      </x:c>
      <x:c r="J299" t="n">
        <x:f>SUMIFS(Targets!$C$2:$C$16,Targets!$A$2:$A$16,I299,Targets!$B$2:$B$16,B299)</x:f>
        <x:v>60</x:v>
      </x:c>
      <x:c r="K299" t="str">
        <x:f>IF(F299&gt;=J299,"Yes","No")</x:f>
        <x:v>Yes</x:v>
      </x:c>
    </x:row>
    <x:row r="300">
      <x:c r="A300" t="str">
        <x:v>S030</x:v>
      </x:c>
      <x:c r="B300" t="str">
        <x:v>English</x:v>
      </x:c>
      <x:c r="C300" t="str">
        <x:v>E102</x:v>
      </x:c>
      <x:c r="D300" t="str">
        <x:v>Final</x:v>
      </x:c>
      <x:c r="E300" t="str">
        <x:v>Term 2</x:v>
      </x:c>
      <x:c r="F300" s="34" t="n">
        <x:v>50.1</x:v>
      </x:c>
      <x:c r="G300" s="34" t="n">
        <x:v>100</x:v>
      </x:c>
      <x:c r="H300" t="str">
        <x:f>IF(F300="","",IF(F300&gt;=40,"Pass","Fail"))</x:f>
        <x:v>Pass</x:v>
      </x:c>
      <x:c r="I300" t="str">
        <x:f>VLOOKUP(A300,Students!$A$2:$F$31,5,FALSE)</x:f>
        <x:v>12A</x:v>
      </x:c>
      <x:c r="J300" t="n">
        <x:f>SUMIFS(Targets!$C$2:$C$16,Targets!$A$2:$A$16,I300,Targets!$B$2:$B$16,B300)</x:f>
        <x:v>60</x:v>
      </x:c>
      <x:c r="K300" t="str">
        <x:f>IF(F300&gt;=J300,"Yes","No")</x:f>
        <x:v>No</x:v>
      </x:c>
    </x:row>
    <x:row r="301">
      <x:c r="A301" t="str">
        <x:v>S030</x:v>
      </x:c>
      <x:c r="B301" t="str">
        <x:v>Computer Science</x:v>
      </x:c>
      <x:c r="C301" t="str">
        <x:v>E102</x:v>
      </x:c>
      <x:c r="D301" t="str">
        <x:v>Final</x:v>
      </x:c>
      <x:c r="E301" t="str">
        <x:v>Term 2</x:v>
      </x:c>
      <x:c r="F301" s="34" t="n">
        <x:v>85.2</x:v>
      </x:c>
      <x:c r="G301" s="34" t="n">
        <x:v>100</x:v>
      </x:c>
      <x:c r="H301" t="str">
        <x:f>IF(F301="","",IF(F301&gt;=40,"Pass","Fail"))</x:f>
        <x:v>Pass</x:v>
      </x:c>
      <x:c r="I301" t="str">
        <x:f>VLOOKUP(A301,Students!$A$2:$F$31,5,FALSE)</x:f>
        <x:v>12A</x:v>
      </x:c>
      <x:c r="J301" t="n">
        <x:f>SUMIFS(Targets!$C$2:$C$16,Targets!$A$2:$A$16,I301,Targets!$B$2:$B$16,B301)</x:f>
        <x:v>80</x:v>
      </x:c>
      <x:c r="K301" t="str">
        <x:f>IF(F301&gt;=J301,"Yes","No")</x:f>
        <x:v>Yes</x:v>
      </x:c>
    </x:row>
  </x:sheetData>
  <x:conditionalFormatting sqref="H2:H301">
    <x:cfRule type="expression" dxfId="0" priority="1">
      <x:formula>H2="Fail"</x:formula>
    </x:cfRule>
  </x:conditionalFormatting>
  <x:conditionalFormatting sqref="K2:K301">
    <x:cfRule type="expression" dxfId="1" priority="2">
      <x:formula>K2="No"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4d88327c824e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9.75" hidden="0" customWidth="1"/>
    <x:col min="3" max="3" width="8.5" hidden="0" customWidth="1"/>
    <x:col min="4" max="4" width="4.380000114440918" hidden="0" customWidth="1"/>
    <x:col min="5" max="5" width="10.75" hidden="0" customWidth="1"/>
    <x:col min="6" max="6" width="11.75" hidden="0" customWidth="1"/>
    <x:col min="7" max="7" width="14.5" hidden="0" customWidth="1"/>
    <x:col min="8" max="8" width="11" hidden="0" customWidth="1"/>
    <x:col min="9" max="9" width="16.1299991607666" hidden="0" customWidth="1"/>
    <x:col min="10" max="10" width="14" hidden="0" customWidth="1"/>
  </x:cols>
  <x:sheetData>
    <x:row r="1">
      <x:c r="A1" s="27" t="str">
        <x:v>StudentID</x:v>
      </x:c>
      <x:c r="B1" s="27" t="str">
        <x:v>First Name</x:v>
      </x:c>
      <x:c r="C1" s="27" t="str">
        <x:v>Last Name</x:v>
      </x:c>
      <x:c r="D1" s="27" t="str">
        <x:v>Class</x:v>
      </x:c>
      <x:c r="E1" s="27" t="str">
        <x:v>Final Average</x:v>
      </x:c>
      <x:c r="F1" s="27" t="str">
        <x:v>Final Pass Rate</x:v>
      </x:c>
      <x:c r="G1" s="27" t="str">
        <x:v>English Final Score</x:v>
      </x:c>
      <x:c r="H1" s="27" t="str">
        <x:v>English Target</x:v>
      </x:c>
      <x:c r="I1" s="27" t="str">
        <x:v>English Target Status</x:v>
      </x:c>
      <x:c r="J1" s="27" t="str">
        <x:v>Best Final Subject</x:v>
      </x:c>
    </x:row>
    <x:row r="2">
      <x:c r="A2" t="str">
        <x:v>S001</x:v>
      </x:c>
      <x:c r="B2" t="str">
        <x:f>VLOOKUP(A2,Students!$A$2:$F$31,2,FALSE)</x:f>
        <x:v>Aarav</x:v>
      </x:c>
      <x:c r="C2" t="str">
        <x:f>VLOOKUP(A2,Students!$A$2:$F$31,3,FALSE)</x:f>
        <x:v>Sharma</x:v>
      </x:c>
      <x:c r="D2" t="str">
        <x:f>VLOOKUP(A2,Students!$A$2:$F$31,5,FALSE)</x:f>
        <x:v>12A</x:v>
      </x:c>
      <x:c r="E2" s="34" t="n">
        <x:f>AVERAGEIFS(Scores!$F$2:$F$301,Scores!$A$2:$A$301,A2,Scores!$D$2:$D$301,"Final")</x:f>
        <x:v>62.55999999999999</x:v>
      </x:c>
      <x:c r="F2" s="36" t="n">
        <x:f>COUNTIFS(Scores!$A$2:$A$301,A2,Scores!$D$2:$D$301,"Final",Scores!$H$2:$H$301,"Pass")/COUNTIFS(Scores!$A$2:$A$301,A2,Scores!$D$2:$D$301,"Final")</x:f>
        <x:v>1</x:v>
      </x:c>
      <x:c r="G2" s="34" t="n">
        <x:f>SUMIFS(Scores!$F$2:$F$301,Scores!$A$2:$A$301,A2,Scores!$B$2:$B$301,"English",Scores!$D$2:$D$301,"Final")</x:f>
        <x:v>62.1</x:v>
      </x:c>
      <x:c r="H2" s="34" t="n">
        <x:f>SUMIFS(Targets!$C$2:$C$16,Targets!$A$2:$A$16,D2,Targets!$B$2:$B$16,"English")</x:f>
        <x:v>60</x:v>
      </x:c>
      <x:c r="I2" t="str">
        <x:f>IF(G2&gt;=H2,"Meets target","Below target")</x:f>
        <x:v>Meets target</x:v>
      </x:c>
      <x:c r="J2" t="str">
        <x:v>Computer Science</x:v>
      </x:c>
    </x:row>
    <x:row r="3">
      <x:c r="A3" t="str">
        <x:v>S002</x:v>
      </x:c>
      <x:c r="B3" t="str">
        <x:f>VLOOKUP(A3,Students!$A$2:$F$31,2,FALSE)</x:f>
        <x:v>Vivaan</x:v>
      </x:c>
      <x:c r="C3" t="str">
        <x:f>VLOOKUP(A3,Students!$A$2:$F$31,3,FALSE)</x:f>
        <x:v>Verma</x:v>
      </x:c>
      <x:c r="D3" t="str">
        <x:f>VLOOKUP(A3,Students!$A$2:$F$31,5,FALSE)</x:f>
        <x:v>12A</x:v>
      </x:c>
      <x:c r="E3" s="34" t="n">
        <x:f>AVERAGEIFS(Scores!$F$2:$F$301,Scores!$A$2:$A$301,A3,Scores!$D$2:$D$301,"Final")</x:f>
        <x:v>66.53999999999999</x:v>
      </x:c>
      <x:c r="F3" s="36" t="n">
        <x:f>COUNTIFS(Scores!$A$2:$A$301,A3,Scores!$D$2:$D$301,"Final",Scores!$H$2:$H$301,"Pass")/COUNTIFS(Scores!$A$2:$A$301,A3,Scores!$D$2:$D$301,"Final")</x:f>
        <x:v>1</x:v>
      </x:c>
      <x:c r="G3" s="34" t="n">
        <x:f>SUMIFS(Scores!$F$2:$F$301,Scores!$A$2:$A$301,A3,Scores!$B$2:$B$301,"English",Scores!$D$2:$D$301,"Final")</x:f>
        <x:v>74.2</x:v>
      </x:c>
      <x:c r="H3" s="34" t="n">
        <x:f>SUMIFS(Targets!$C$2:$C$16,Targets!$A$2:$A$16,D3,Targets!$B$2:$B$16,"English")</x:f>
        <x:v>60</x:v>
      </x:c>
      <x:c r="I3" t="str">
        <x:f>IF(G3&gt;=H3,"Meets target","Below target")</x:f>
        <x:v>Meets target</x:v>
      </x:c>
      <x:c r="J3" t="str">
        <x:v>Computer Science</x:v>
      </x:c>
    </x:row>
    <x:row r="4">
      <x:c r="A4" t="str">
        <x:v>S003</x:v>
      </x:c>
      <x:c r="B4" t="str">
        <x:f>VLOOKUP(A4,Students!$A$2:$F$31,2,FALSE)</x:f>
        <x:v>Aditya</x:v>
      </x:c>
      <x:c r="C4" t="str">
        <x:f>VLOOKUP(A4,Students!$A$2:$F$31,3,FALSE)</x:f>
        <x:v>Gupta</x:v>
      </x:c>
      <x:c r="D4" t="str">
        <x:f>VLOOKUP(A4,Students!$A$2:$F$31,5,FALSE)</x:f>
        <x:v>12A</x:v>
      </x:c>
      <x:c r="E4" s="34" t="n">
        <x:f>AVERAGEIFS(Scores!$F$2:$F$301,Scores!$A$2:$A$301,A4,Scores!$D$2:$D$301,"Final")</x:f>
        <x:v>66.5</x:v>
      </x:c>
      <x:c r="F4" s="36" t="n">
        <x:f>COUNTIFS(Scores!$A$2:$A$301,A4,Scores!$D$2:$D$301,"Final",Scores!$H$2:$H$301,"Pass")/COUNTIFS(Scores!$A$2:$A$301,A4,Scores!$D$2:$D$301,"Final")</x:f>
        <x:v>1</x:v>
      </x:c>
      <x:c r="G4" s="34" t="n">
        <x:f>SUMIFS(Scores!$F$2:$F$301,Scores!$A$2:$A$301,A4,Scores!$B$2:$B$301,"English",Scores!$D$2:$D$301,"Final")</x:f>
        <x:v>66</x:v>
      </x:c>
      <x:c r="H4" s="34" t="n">
        <x:f>SUMIFS(Targets!$C$2:$C$16,Targets!$A$2:$A$16,D4,Targets!$B$2:$B$16,"English")</x:f>
        <x:v>60</x:v>
      </x:c>
      <x:c r="I4" t="str">
        <x:f>IF(G4&gt;=H4,"Meets target","Below target")</x:f>
        <x:v>Meets target</x:v>
      </x:c>
      <x:c r="J4" t="str">
        <x:v>Computer Science</x:v>
      </x:c>
    </x:row>
    <x:row r="5">
      <x:c r="A5" t="str">
        <x:v>S004</x:v>
      </x:c>
      <x:c r="B5" t="str">
        <x:f>VLOOKUP(A5,Students!$A$2:$F$31,2,FALSE)</x:f>
        <x:v>Vihaan</x:v>
      </x:c>
      <x:c r="C5" t="str">
        <x:f>VLOOKUP(A5,Students!$A$2:$F$31,3,FALSE)</x:f>
        <x:v>Mehta</x:v>
      </x:c>
      <x:c r="D5" t="str">
        <x:f>VLOOKUP(A5,Students!$A$2:$F$31,5,FALSE)</x:f>
        <x:v>12C</x:v>
      </x:c>
      <x:c r="E5" s="34" t="n">
        <x:f>AVERAGEIFS(Scores!$F$2:$F$301,Scores!$A$2:$A$301,A5,Scores!$D$2:$D$301,"Final")</x:f>
        <x:v>78.94000000000001</x:v>
      </x:c>
      <x:c r="F5" s="36" t="n">
        <x:f>COUNTIFS(Scores!$A$2:$A$301,A5,Scores!$D$2:$D$301,"Final",Scores!$H$2:$H$301,"Pass")/COUNTIFS(Scores!$A$2:$A$301,A5,Scores!$D$2:$D$301,"Final")</x:f>
        <x:v>1</x:v>
      </x:c>
      <x:c r="G5" s="34" t="n">
        <x:f>SUMIFS(Scores!$F$2:$F$301,Scores!$A$2:$A$301,A5,Scores!$B$2:$B$301,"English",Scores!$D$2:$D$301,"Final")</x:f>
        <x:v>74</x:v>
      </x:c>
      <x:c r="H5" s="34" t="n">
        <x:f>SUMIFS(Targets!$C$2:$C$16,Targets!$A$2:$A$16,D5,Targets!$B$2:$B$16,"English")</x:f>
        <x:v>70</x:v>
      </x:c>
      <x:c r="I5" t="str">
        <x:f>IF(G5&gt;=H5,"Meets target","Below target")</x:f>
        <x:v>Meets target</x:v>
      </x:c>
      <x:c r="J5" t="str">
        <x:v>Maths</x:v>
      </x:c>
    </x:row>
    <x:row r="6">
      <x:c r="A6" t="str">
        <x:v>S005</x:v>
      </x:c>
      <x:c r="B6" t="str">
        <x:f>VLOOKUP(A6,Students!$A$2:$F$31,2,FALSE)</x:f>
        <x:v>Arjun</x:v>
      </x:c>
      <x:c r="C6" t="str">
        <x:f>VLOOKUP(A6,Students!$A$2:$F$31,3,FALSE)</x:f>
        <x:v>Singh</x:v>
      </x:c>
      <x:c r="D6" t="str">
        <x:f>VLOOKUP(A6,Students!$A$2:$F$31,5,FALSE)</x:f>
        <x:v>12C</x:v>
      </x:c>
      <x:c r="E6" s="34" t="n">
        <x:f>AVERAGEIFS(Scores!$F$2:$F$301,Scores!$A$2:$A$301,A6,Scores!$D$2:$D$301,"Final")</x:f>
        <x:v>63.5</x:v>
      </x:c>
      <x:c r="F6" s="36" t="n">
        <x:f>COUNTIFS(Scores!$A$2:$A$301,A6,Scores!$D$2:$D$301,"Final",Scores!$H$2:$H$301,"Pass")/COUNTIFS(Scores!$A$2:$A$301,A6,Scores!$D$2:$D$301,"Final")</x:f>
        <x:v>1</x:v>
      </x:c>
      <x:c r="G6" s="34" t="n">
        <x:f>SUMIFS(Scores!$F$2:$F$301,Scores!$A$2:$A$301,A6,Scores!$B$2:$B$301,"English",Scores!$D$2:$D$301,"Final")</x:f>
        <x:v>64.6</x:v>
      </x:c>
      <x:c r="H6" s="34" t="n">
        <x:f>SUMIFS(Targets!$C$2:$C$16,Targets!$A$2:$A$16,D6,Targets!$B$2:$B$16,"English")</x:f>
        <x:v>70</x:v>
      </x:c>
      <x:c r="I6" t="str">
        <x:f>IF(G6&gt;=H6,"Meets target","Below target")</x:f>
        <x:v>Below target</x:v>
      </x:c>
      <x:c r="J6" t="str">
        <x:v>Computer Science</x:v>
      </x:c>
    </x:row>
    <x:row r="7">
      <x:c r="A7" t="str">
        <x:v>S006</x:v>
      </x:c>
      <x:c r="B7" t="str">
        <x:f>VLOOKUP(A7,Students!$A$2:$F$31,2,FALSE)</x:f>
        <x:v>Reyansh</x:v>
      </x:c>
      <x:c r="C7" t="str">
        <x:f>VLOOKUP(A7,Students!$A$2:$F$31,3,FALSE)</x:f>
        <x:v>Kapoor</x:v>
      </x:c>
      <x:c r="D7" t="str">
        <x:f>VLOOKUP(A7,Students!$A$2:$F$31,5,FALSE)</x:f>
        <x:v>12A</x:v>
      </x:c>
      <x:c r="E7" s="34" t="n">
        <x:f>AVERAGEIFS(Scores!$F$2:$F$301,Scores!$A$2:$A$301,A7,Scores!$D$2:$D$301,"Final")</x:f>
        <x:v>54.660000000000004</x:v>
      </x:c>
      <x:c r="F7" s="36" t="n">
        <x:f>COUNTIFS(Scores!$A$2:$A$301,A7,Scores!$D$2:$D$301,"Final",Scores!$H$2:$H$301,"Pass")/COUNTIFS(Scores!$A$2:$A$301,A7,Scores!$D$2:$D$301,"Final")</x:f>
        <x:v>1</x:v>
      </x:c>
      <x:c r="G7" s="34" t="n">
        <x:f>SUMIFS(Scores!$F$2:$F$301,Scores!$A$2:$A$301,A7,Scores!$B$2:$B$301,"English",Scores!$D$2:$D$301,"Final")</x:f>
        <x:v>64.5</x:v>
      </x:c>
      <x:c r="H7" s="34" t="n">
        <x:f>SUMIFS(Targets!$C$2:$C$16,Targets!$A$2:$A$16,D7,Targets!$B$2:$B$16,"English")</x:f>
        <x:v>60</x:v>
      </x:c>
      <x:c r="I7" t="str">
        <x:f>IF(G7&gt;=H7,"Meets target","Below target")</x:f>
        <x:v>Meets target</x:v>
      </x:c>
      <x:c r="J7" t="str">
        <x:v>Maths</x:v>
      </x:c>
    </x:row>
    <x:row r="8">
      <x:c r="A8" t="str">
        <x:v>S007</x:v>
      </x:c>
      <x:c r="B8" t="str">
        <x:f>VLOOKUP(A8,Students!$A$2:$F$31,2,FALSE)</x:f>
        <x:v>Muhammad</x:v>
      </x:c>
      <x:c r="C8" t="str">
        <x:f>VLOOKUP(A8,Students!$A$2:$F$31,3,FALSE)</x:f>
        <x:v>Jain</x:v>
      </x:c>
      <x:c r="D8" t="str">
        <x:f>VLOOKUP(A8,Students!$A$2:$F$31,5,FALSE)</x:f>
        <x:v>12A</x:v>
      </x:c>
      <x:c r="E8" s="34" t="n">
        <x:f>AVERAGEIFS(Scores!$F$2:$F$301,Scores!$A$2:$A$301,A8,Scores!$D$2:$D$301,"Final")</x:f>
        <x:v>61.959999999999994</x:v>
      </x:c>
      <x:c r="F8" s="36" t="n">
        <x:f>COUNTIFS(Scores!$A$2:$A$301,A8,Scores!$D$2:$D$301,"Final",Scores!$H$2:$H$301,"Pass")/COUNTIFS(Scores!$A$2:$A$301,A8,Scores!$D$2:$D$301,"Final")</x:f>
        <x:v>1</x:v>
      </x:c>
      <x:c r="G8" s="34" t="n">
        <x:f>SUMIFS(Scores!$F$2:$F$301,Scores!$A$2:$A$301,A8,Scores!$B$2:$B$301,"English",Scores!$D$2:$D$301,"Final")</x:f>
        <x:v>52.4</x:v>
      </x:c>
      <x:c r="H8" s="34" t="n">
        <x:f>SUMIFS(Targets!$C$2:$C$16,Targets!$A$2:$A$16,D8,Targets!$B$2:$B$16,"English")</x:f>
        <x:v>60</x:v>
      </x:c>
      <x:c r="I8" t="str">
        <x:f>IF(G8&gt;=H8,"Meets target","Below target")</x:f>
        <x:v>Below target</x:v>
      </x:c>
      <x:c r="J8" t="str">
        <x:v>Chemistry</x:v>
      </x:c>
    </x:row>
    <x:row r="9">
      <x:c r="A9" t="str">
        <x:v>S008</x:v>
      </x:c>
      <x:c r="B9" t="str">
        <x:f>VLOOKUP(A9,Students!$A$2:$F$31,2,FALSE)</x:f>
        <x:v>Sai</x:v>
      </x:c>
      <x:c r="C9" t="str">
        <x:f>VLOOKUP(A9,Students!$A$2:$F$31,3,FALSE)</x:f>
        <x:v>Bhatia</x:v>
      </x:c>
      <x:c r="D9" t="str">
        <x:f>VLOOKUP(A9,Students!$A$2:$F$31,5,FALSE)</x:f>
        <x:v>12A</x:v>
      </x:c>
      <x:c r="E9" s="34" t="n">
        <x:f>AVERAGEIFS(Scores!$F$2:$F$301,Scores!$A$2:$A$301,A9,Scores!$D$2:$D$301,"Final")</x:f>
        <x:v>85.32000000000001</x:v>
      </x:c>
      <x:c r="F9" s="36" t="n">
        <x:f>COUNTIFS(Scores!$A$2:$A$301,A9,Scores!$D$2:$D$301,"Final",Scores!$H$2:$H$301,"Pass")/COUNTIFS(Scores!$A$2:$A$301,A9,Scores!$D$2:$D$301,"Final")</x:f>
        <x:v>1</x:v>
      </x:c>
      <x:c r="G9" s="34" t="n">
        <x:f>SUMIFS(Scores!$F$2:$F$301,Scores!$A$2:$A$301,A9,Scores!$B$2:$B$301,"English",Scores!$D$2:$D$301,"Final")</x:f>
        <x:v>87.3</x:v>
      </x:c>
      <x:c r="H9" s="34" t="n">
        <x:f>SUMIFS(Targets!$C$2:$C$16,Targets!$A$2:$A$16,D9,Targets!$B$2:$B$16,"English")</x:f>
        <x:v>60</x:v>
      </x:c>
      <x:c r="I9" t="str">
        <x:f>IF(G9&gt;=H9,"Meets target","Below target")</x:f>
        <x:v>Meets target</x:v>
      </x:c>
      <x:c r="J9" t="str">
        <x:v>Chemistry</x:v>
      </x:c>
    </x:row>
    <x:row r="10">
      <x:c r="A10" t="str">
        <x:v>S009</x:v>
      </x:c>
      <x:c r="B10" t="str">
        <x:f>VLOOKUP(A10,Students!$A$2:$F$31,2,FALSE)</x:f>
        <x:v>Atharv</x:v>
      </x:c>
      <x:c r="C10" t="str">
        <x:f>VLOOKUP(A10,Students!$A$2:$F$31,3,FALSE)</x:f>
        <x:v>Kumar</x:v>
      </x:c>
      <x:c r="D10" t="str">
        <x:f>VLOOKUP(A10,Students!$A$2:$F$31,5,FALSE)</x:f>
        <x:v>12C</x:v>
      </x:c>
      <x:c r="E10" s="34" t="n">
        <x:f>AVERAGEIFS(Scores!$F$2:$F$301,Scores!$A$2:$A$301,A10,Scores!$D$2:$D$301,"Final")</x:f>
        <x:v>70.1</x:v>
      </x:c>
      <x:c r="F10" s="36" t="n">
        <x:f>COUNTIFS(Scores!$A$2:$A$301,A10,Scores!$D$2:$D$301,"Final",Scores!$H$2:$H$301,"Pass")/COUNTIFS(Scores!$A$2:$A$301,A10,Scores!$D$2:$D$301,"Final")</x:f>
        <x:v>1</x:v>
      </x:c>
      <x:c r="G10" s="34" t="n">
        <x:f>SUMIFS(Scores!$F$2:$F$301,Scores!$A$2:$A$301,A10,Scores!$B$2:$B$301,"English",Scores!$D$2:$D$301,"Final")</x:f>
        <x:v>82.2</x:v>
      </x:c>
      <x:c r="H10" s="34" t="n">
        <x:f>SUMIFS(Targets!$C$2:$C$16,Targets!$A$2:$A$16,D10,Targets!$B$2:$B$16,"English")</x:f>
        <x:v>70</x:v>
      </x:c>
      <x:c r="I10" t="str">
        <x:f>IF(G10&gt;=H10,"Meets target","Below target")</x:f>
        <x:v>Meets target</x:v>
      </x:c>
      <x:c r="J10" t="str">
        <x:v>English</x:v>
      </x:c>
    </x:row>
    <x:row r="11">
      <x:c r="A11" t="str">
        <x:v>S010</x:v>
      </x:c>
      <x:c r="B11" t="str">
        <x:f>VLOOKUP(A11,Students!$A$2:$F$31,2,FALSE)</x:f>
        <x:v>Ayaan</x:v>
      </x:c>
      <x:c r="C11" t="str">
        <x:f>VLOOKUP(A11,Students!$A$2:$F$31,3,FALSE)</x:f>
        <x:v>Agarwal</x:v>
      </x:c>
      <x:c r="D11" t="str">
        <x:f>VLOOKUP(A11,Students!$A$2:$F$31,5,FALSE)</x:f>
        <x:v>12C</x:v>
      </x:c>
      <x:c r="E11" s="34" t="n">
        <x:f>AVERAGEIFS(Scores!$F$2:$F$301,Scores!$A$2:$A$301,A11,Scores!$D$2:$D$301,"Final")</x:f>
        <x:v>64.56</x:v>
      </x:c>
      <x:c r="F11" s="36" t="n">
        <x:f>COUNTIFS(Scores!$A$2:$A$301,A11,Scores!$D$2:$D$301,"Final",Scores!$H$2:$H$301,"Pass")/COUNTIFS(Scores!$A$2:$A$301,A11,Scores!$D$2:$D$301,"Final")</x:f>
        <x:v>1</x:v>
      </x:c>
      <x:c r="G11" s="34" t="n">
        <x:f>SUMIFS(Scores!$F$2:$F$301,Scores!$A$2:$A$301,A11,Scores!$B$2:$B$301,"English",Scores!$D$2:$D$301,"Final")</x:f>
        <x:v>59.6</x:v>
      </x:c>
      <x:c r="H11" s="34" t="n">
        <x:f>SUMIFS(Targets!$C$2:$C$16,Targets!$A$2:$A$16,D11,Targets!$B$2:$B$16,"English")</x:f>
        <x:v>70</x:v>
      </x:c>
      <x:c r="I11" t="str">
        <x:f>IF(G11&gt;=H11,"Meets target","Below target")</x:f>
        <x:v>Below target</x:v>
      </x:c>
      <x:c r="J11" t="str">
        <x:v>Computer Science</x:v>
      </x:c>
    </x:row>
    <x:row r="12">
      <x:c r="A12" t="str">
        <x:v>S011</x:v>
      </x:c>
      <x:c r="B12" t="str">
        <x:f>VLOOKUP(A12,Students!$A$2:$F$31,2,FALSE)</x:f>
        <x:v>Ananya</x:v>
      </x:c>
      <x:c r="C12" t="str">
        <x:f>VLOOKUP(A12,Students!$A$2:$F$31,3,FALSE)</x:f>
        <x:v>Chopra</x:v>
      </x:c>
      <x:c r="D12" t="str">
        <x:f>VLOOKUP(A12,Students!$A$2:$F$31,5,FALSE)</x:f>
        <x:v>12A</x:v>
      </x:c>
      <x:c r="E12" s="34" t="n">
        <x:f>AVERAGEIFS(Scores!$F$2:$F$301,Scores!$A$2:$A$301,A12,Scores!$D$2:$D$301,"Final")</x:f>
        <x:v>60.17999999999999</x:v>
      </x:c>
      <x:c r="F12" s="36" t="n">
        <x:f>COUNTIFS(Scores!$A$2:$A$301,A12,Scores!$D$2:$D$301,"Final",Scores!$H$2:$H$301,"Pass")/COUNTIFS(Scores!$A$2:$A$301,A12,Scores!$D$2:$D$301,"Final")</x:f>
        <x:v>1</x:v>
      </x:c>
      <x:c r="G12" s="34" t="n">
        <x:f>SUMIFS(Scores!$F$2:$F$301,Scores!$A$2:$A$301,A12,Scores!$B$2:$B$301,"English",Scores!$D$2:$D$301,"Final")</x:f>
        <x:v>69</x:v>
      </x:c>
      <x:c r="H12" s="34" t="n">
        <x:f>SUMIFS(Targets!$C$2:$C$16,Targets!$A$2:$A$16,D12,Targets!$B$2:$B$16,"English")</x:f>
        <x:v>60</x:v>
      </x:c>
      <x:c r="I12" t="str">
        <x:f>IF(G12&gt;=H12,"Meets target","Below target")</x:f>
        <x:v>Meets target</x:v>
      </x:c>
      <x:c r="J12" t="str">
        <x:v>English</x:v>
      </x:c>
    </x:row>
    <x:row r="13">
      <x:c r="A13" t="str">
        <x:v>S012</x:v>
      </x:c>
      <x:c r="B13" t="str">
        <x:f>VLOOKUP(A13,Students!$A$2:$F$31,2,FALSE)</x:f>
        <x:v>Aadhya</x:v>
      </x:c>
      <x:c r="C13" t="str">
        <x:f>VLOOKUP(A13,Students!$A$2:$F$31,3,FALSE)</x:f>
        <x:v>Khanna</x:v>
      </x:c>
      <x:c r="D13" t="str">
        <x:f>VLOOKUP(A13,Students!$A$2:$F$31,5,FALSE)</x:f>
        <x:v>12C</x:v>
      </x:c>
      <x:c r="E13" s="34" t="n">
        <x:f>AVERAGEIFS(Scores!$F$2:$F$301,Scores!$A$2:$A$301,A13,Scores!$D$2:$D$301,"Final")</x:f>
        <x:v>80.8</x:v>
      </x:c>
      <x:c r="F13" s="36" t="n">
        <x:f>COUNTIFS(Scores!$A$2:$A$301,A13,Scores!$D$2:$D$301,"Final",Scores!$H$2:$H$301,"Pass")/COUNTIFS(Scores!$A$2:$A$301,A13,Scores!$D$2:$D$301,"Final")</x:f>
        <x:v>1</x:v>
      </x:c>
      <x:c r="G13" s="34" t="n">
        <x:f>SUMIFS(Scores!$F$2:$F$301,Scores!$A$2:$A$301,A13,Scores!$B$2:$B$301,"English",Scores!$D$2:$D$301,"Final")</x:f>
        <x:v>99.7</x:v>
      </x:c>
      <x:c r="H13" s="34" t="n">
        <x:f>SUMIFS(Targets!$C$2:$C$16,Targets!$A$2:$A$16,D13,Targets!$B$2:$B$16,"English")</x:f>
        <x:v>70</x:v>
      </x:c>
      <x:c r="I13" t="str">
        <x:f>IF(G13&gt;=H13,"Meets target","Below target")</x:f>
        <x:v>Meets target</x:v>
      </x:c>
      <x:c r="J13" t="str">
        <x:v>English</x:v>
      </x:c>
    </x:row>
    <x:row r="14">
      <x:c r="A14" t="str">
        <x:v>S013</x:v>
      </x:c>
      <x:c r="B14" t="str">
        <x:f>VLOOKUP(A14,Students!$A$2:$F$31,2,FALSE)</x:f>
        <x:v>Diya</x:v>
      </x:c>
      <x:c r="C14" t="str">
        <x:f>VLOOKUP(A14,Students!$A$2:$F$31,3,FALSE)</x:f>
        <x:v>Ghosh</x:v>
      </x:c>
      <x:c r="D14" t="str">
        <x:f>VLOOKUP(A14,Students!$A$2:$F$31,5,FALSE)</x:f>
        <x:v>12A</x:v>
      </x:c>
      <x:c r="E14" s="34" t="n">
        <x:f>AVERAGEIFS(Scores!$F$2:$F$301,Scores!$A$2:$A$301,A14,Scores!$D$2:$D$301,"Final")</x:f>
        <x:v>58.96</x:v>
      </x:c>
      <x:c r="F14" s="36" t="n">
        <x:f>COUNTIFS(Scores!$A$2:$A$301,A14,Scores!$D$2:$D$301,"Final",Scores!$H$2:$H$301,"Pass")/COUNTIFS(Scores!$A$2:$A$301,A14,Scores!$D$2:$D$301,"Final")</x:f>
        <x:v>1</x:v>
      </x:c>
      <x:c r="G14" s="34" t="n">
        <x:f>SUMIFS(Scores!$F$2:$F$301,Scores!$A$2:$A$301,A14,Scores!$B$2:$B$301,"English",Scores!$D$2:$D$301,"Final")</x:f>
        <x:v>64</x:v>
      </x:c>
      <x:c r="H14" s="34" t="n">
        <x:f>SUMIFS(Targets!$C$2:$C$16,Targets!$A$2:$A$16,D14,Targets!$B$2:$B$16,"English")</x:f>
        <x:v>60</x:v>
      </x:c>
      <x:c r="I14" t="str">
        <x:f>IF(G14&gt;=H14,"Meets target","Below target")</x:f>
        <x:v>Meets target</x:v>
      </x:c>
      <x:c r="J14" t="str">
        <x:v>Chemistry</x:v>
      </x:c>
    </x:row>
    <x:row r="15">
      <x:c r="A15" t="str">
        <x:v>S014</x:v>
      </x:c>
      <x:c r="B15" t="str">
        <x:f>VLOOKUP(A15,Students!$A$2:$F$31,2,FALSE)</x:f>
        <x:v>Isha</x:v>
      </x:c>
      <x:c r="C15" t="str">
        <x:f>VLOOKUP(A15,Students!$A$2:$F$31,3,FALSE)</x:f>
        <x:v>Iyer</x:v>
      </x:c>
      <x:c r="D15" t="str">
        <x:f>VLOOKUP(A15,Students!$A$2:$F$31,5,FALSE)</x:f>
        <x:v>12C</x:v>
      </x:c>
      <x:c r="E15" s="34" t="n">
        <x:f>AVERAGEIFS(Scores!$F$2:$F$301,Scores!$A$2:$A$301,A15,Scores!$D$2:$D$301,"Final")</x:f>
        <x:v>62.019999999999996</x:v>
      </x:c>
      <x:c r="F15" s="36" t="n">
        <x:f>COUNTIFS(Scores!$A$2:$A$301,A15,Scores!$D$2:$D$301,"Final",Scores!$H$2:$H$301,"Pass")/COUNTIFS(Scores!$A$2:$A$301,A15,Scores!$D$2:$D$301,"Final")</x:f>
        <x:v>1</x:v>
      </x:c>
      <x:c r="G15" s="34" t="n">
        <x:f>SUMIFS(Scores!$F$2:$F$301,Scores!$A$2:$A$301,A15,Scores!$B$2:$B$301,"English",Scores!$D$2:$D$301,"Final")</x:f>
        <x:v>71.3</x:v>
      </x:c>
      <x:c r="H15" s="34" t="n">
        <x:f>SUMIFS(Targets!$C$2:$C$16,Targets!$A$2:$A$16,D15,Targets!$B$2:$B$16,"English")</x:f>
        <x:v>70</x:v>
      </x:c>
      <x:c r="I15" t="str">
        <x:f>IF(G15&gt;=H15,"Meets target","Below target")</x:f>
        <x:v>Meets target</x:v>
      </x:c>
      <x:c r="J15" t="str">
        <x:v>English</x:v>
      </x:c>
    </x:row>
    <x:row r="16">
      <x:c r="A16" t="str">
        <x:v>S015</x:v>
      </x:c>
      <x:c r="B16" t="str">
        <x:f>VLOOKUP(A16,Students!$A$2:$F$31,2,FALSE)</x:f>
        <x:v>Myra</x:v>
      </x:c>
      <x:c r="C16" t="str">
        <x:f>VLOOKUP(A16,Students!$A$2:$F$31,3,FALSE)</x:f>
        <x:v>Pillai</x:v>
      </x:c>
      <x:c r="D16" t="str">
        <x:f>VLOOKUP(A16,Students!$A$2:$F$31,5,FALSE)</x:f>
        <x:v>12B</x:v>
      </x:c>
      <x:c r="E16" s="34" t="n">
        <x:f>AVERAGEIFS(Scores!$F$2:$F$301,Scores!$A$2:$A$301,A16,Scores!$D$2:$D$301,"Final")</x:f>
        <x:v>67.03999999999999</x:v>
      </x:c>
      <x:c r="F16" s="36" t="n">
        <x:f>COUNTIFS(Scores!$A$2:$A$301,A16,Scores!$D$2:$D$301,"Final",Scores!$H$2:$H$301,"Pass")/COUNTIFS(Scores!$A$2:$A$301,A16,Scores!$D$2:$D$301,"Final")</x:f>
        <x:v>1</x:v>
      </x:c>
      <x:c r="G16" s="34" t="n">
        <x:f>SUMIFS(Scores!$F$2:$F$301,Scores!$A$2:$A$301,A16,Scores!$B$2:$B$301,"English",Scores!$D$2:$D$301,"Final")</x:f>
        <x:v>74.2</x:v>
      </x:c>
      <x:c r="H16" s="34" t="n">
        <x:f>SUMIFS(Targets!$C$2:$C$16,Targets!$A$2:$A$16,D16,Targets!$B$2:$B$16,"English")</x:f>
        <x:v>80</x:v>
      </x:c>
      <x:c r="I16" t="str">
        <x:f>IF(G16&gt;=H16,"Meets target","Below target")</x:f>
        <x:v>Below target</x:v>
      </x:c>
      <x:c r="J16" t="str">
        <x:v>Computer Science</x:v>
      </x:c>
    </x:row>
    <x:row r="17">
      <x:c r="A17" t="str">
        <x:v>S016</x:v>
      </x:c>
      <x:c r="B17" t="str">
        <x:f>VLOOKUP(A17,Students!$A$2:$F$31,2,FALSE)</x:f>
        <x:v>Kiara</x:v>
      </x:c>
      <x:c r="C17" t="str">
        <x:f>VLOOKUP(A17,Students!$A$2:$F$31,3,FALSE)</x:f>
        <x:v>Rao</x:v>
      </x:c>
      <x:c r="D17" t="str">
        <x:f>VLOOKUP(A17,Students!$A$2:$F$31,5,FALSE)</x:f>
        <x:v>12A</x:v>
      </x:c>
      <x:c r="E17" s="34" t="n">
        <x:f>AVERAGEIFS(Scores!$F$2:$F$301,Scores!$A$2:$A$301,A17,Scores!$D$2:$D$301,"Final")</x:f>
        <x:v>62.67999999999999</x:v>
      </x:c>
      <x:c r="F17" s="36" t="n">
        <x:f>COUNTIFS(Scores!$A$2:$A$301,A17,Scores!$D$2:$D$301,"Final",Scores!$H$2:$H$301,"Pass")/COUNTIFS(Scores!$A$2:$A$301,A17,Scores!$D$2:$D$301,"Final")</x:f>
        <x:v>1</x:v>
      </x:c>
      <x:c r="G17" s="34" t="n">
        <x:f>SUMIFS(Scores!$F$2:$F$301,Scores!$A$2:$A$301,A17,Scores!$B$2:$B$301,"English",Scores!$D$2:$D$301,"Final")</x:f>
        <x:v>62.6</x:v>
      </x:c>
      <x:c r="H17" s="34" t="n">
        <x:f>SUMIFS(Targets!$C$2:$C$16,Targets!$A$2:$A$16,D17,Targets!$B$2:$B$16,"English")</x:f>
        <x:v>60</x:v>
      </x:c>
      <x:c r="I17" t="str">
        <x:f>IF(G17&gt;=H17,"Meets target","Below target")</x:f>
        <x:v>Meets target</x:v>
      </x:c>
      <x:c r="J17" t="str">
        <x:v>Chemistry</x:v>
      </x:c>
    </x:row>
    <x:row r="18">
      <x:c r="A18" t="str">
        <x:v>S017</x:v>
      </x:c>
      <x:c r="B18" t="str">
        <x:f>VLOOKUP(A18,Students!$A$2:$F$31,2,FALSE)</x:f>
        <x:v>Pihu</x:v>
      </x:c>
      <x:c r="C18" t="str">
        <x:f>VLOOKUP(A18,Students!$A$2:$F$31,3,FALSE)</x:f>
        <x:v>Das</x:v>
      </x:c>
      <x:c r="D18" t="str">
        <x:f>VLOOKUP(A18,Students!$A$2:$F$31,5,FALSE)</x:f>
        <x:v>12B</x:v>
      </x:c>
      <x:c r="E18" s="34" t="n">
        <x:f>AVERAGEIFS(Scores!$F$2:$F$301,Scores!$A$2:$A$301,A18,Scores!$D$2:$D$301,"Final")</x:f>
        <x:v>73.16000000000001</x:v>
      </x:c>
      <x:c r="F18" s="36" t="n">
        <x:f>COUNTIFS(Scores!$A$2:$A$301,A18,Scores!$D$2:$D$301,"Final",Scores!$H$2:$H$301,"Pass")/COUNTIFS(Scores!$A$2:$A$301,A18,Scores!$D$2:$D$301,"Final")</x:f>
        <x:v>1</x:v>
      </x:c>
      <x:c r="G18" s="34" t="n">
        <x:f>SUMIFS(Scores!$F$2:$F$301,Scores!$A$2:$A$301,A18,Scores!$B$2:$B$301,"English",Scores!$D$2:$D$301,"Final")</x:f>
        <x:v>70.5</x:v>
      </x:c>
      <x:c r="H18" s="34" t="n">
        <x:f>SUMIFS(Targets!$C$2:$C$16,Targets!$A$2:$A$16,D18,Targets!$B$2:$B$16,"English")</x:f>
        <x:v>80</x:v>
      </x:c>
      <x:c r="I18" t="str">
        <x:f>IF(G18&gt;=H18,"Meets target","Below target")</x:f>
        <x:v>Below target</x:v>
      </x:c>
      <x:c r="J18" t="str">
        <x:v>Chemistry</x:v>
      </x:c>
    </x:row>
    <x:row r="19">
      <x:c r="A19" t="str">
        <x:v>S018</x:v>
      </x:c>
      <x:c r="B19" t="str">
        <x:f>VLOOKUP(A19,Students!$A$2:$F$31,2,FALSE)</x:f>
        <x:v>Riya</x:v>
      </x:c>
      <x:c r="C19" t="str">
        <x:f>VLOOKUP(A19,Students!$A$2:$F$31,3,FALSE)</x:f>
        <x:v>Patel</x:v>
      </x:c>
      <x:c r="D19" t="str">
        <x:f>VLOOKUP(A19,Students!$A$2:$F$31,5,FALSE)</x:f>
        <x:v>12A</x:v>
      </x:c>
      <x:c r="E19" s="34" t="n">
        <x:f>AVERAGEIFS(Scores!$F$2:$F$301,Scores!$A$2:$A$301,A19,Scores!$D$2:$D$301,"Final")</x:f>
        <x:v>66.91999999999999</x:v>
      </x:c>
      <x:c r="F19" s="36" t="n">
        <x:f>COUNTIFS(Scores!$A$2:$A$301,A19,Scores!$D$2:$D$301,"Final",Scores!$H$2:$H$301,"Pass")/COUNTIFS(Scores!$A$2:$A$301,A19,Scores!$D$2:$D$301,"Final")</x:f>
        <x:v>1</x:v>
      </x:c>
      <x:c r="G19" s="34" t="n">
        <x:f>SUMIFS(Scores!$F$2:$F$301,Scores!$A$2:$A$301,A19,Scores!$B$2:$B$301,"English",Scores!$D$2:$D$301,"Final")</x:f>
        <x:v>64.4</x:v>
      </x:c>
      <x:c r="H19" s="34" t="n">
        <x:f>SUMIFS(Targets!$C$2:$C$16,Targets!$A$2:$A$16,D19,Targets!$B$2:$B$16,"English")</x:f>
        <x:v>60</x:v>
      </x:c>
      <x:c r="I19" t="str">
        <x:f>IF(G19&gt;=H19,"Meets target","Below target")</x:f>
        <x:v>Meets target</x:v>
      </x:c>
      <x:c r="J19" t="str">
        <x:v>Computer Science</x:v>
      </x:c>
    </x:row>
    <x:row r="20">
      <x:c r="A20" t="str">
        <x:v>S019</x:v>
      </x:c>
      <x:c r="B20" t="str">
        <x:f>VLOOKUP(A20,Students!$A$2:$F$31,2,FALSE)</x:f>
        <x:v>Saanvi</x:v>
      </x:c>
      <x:c r="C20" t="str">
        <x:f>VLOOKUP(A20,Students!$A$2:$F$31,3,FALSE)</x:f>
        <x:v>Kulkarni</x:v>
      </x:c>
      <x:c r="D20" t="str">
        <x:f>VLOOKUP(A20,Students!$A$2:$F$31,5,FALSE)</x:f>
        <x:v>12A</x:v>
      </x:c>
      <x:c r="E20" s="34" t="n">
        <x:f>AVERAGEIFS(Scores!$F$2:$F$301,Scores!$A$2:$A$301,A20,Scores!$D$2:$D$301,"Final")</x:f>
        <x:v>76.1</x:v>
      </x:c>
      <x:c r="F20" s="36" t="n">
        <x:f>COUNTIFS(Scores!$A$2:$A$301,A20,Scores!$D$2:$D$301,"Final",Scores!$H$2:$H$301,"Pass")/COUNTIFS(Scores!$A$2:$A$301,A20,Scores!$D$2:$D$301,"Final")</x:f>
        <x:v>1</x:v>
      </x:c>
      <x:c r="G20" s="34" t="n">
        <x:f>SUMIFS(Scores!$F$2:$F$301,Scores!$A$2:$A$301,A20,Scores!$B$2:$B$301,"English",Scores!$D$2:$D$301,"Final")</x:f>
        <x:v>77.4</x:v>
      </x:c>
      <x:c r="H20" s="34" t="n">
        <x:f>SUMIFS(Targets!$C$2:$C$16,Targets!$A$2:$A$16,D20,Targets!$B$2:$B$16,"English")</x:f>
        <x:v>60</x:v>
      </x:c>
      <x:c r="I20" t="str">
        <x:f>IF(G20&gt;=H20,"Meets target","Below target")</x:f>
        <x:v>Meets target</x:v>
      </x:c>
      <x:c r="J20" t="str">
        <x:v>Computer Science</x:v>
      </x:c>
    </x:row>
    <x:row r="21">
      <x:c r="A21" t="str">
        <x:v>S020</x:v>
      </x:c>
      <x:c r="B21" t="str">
        <x:f>VLOOKUP(A21,Students!$A$2:$F$31,2,FALSE)</x:f>
        <x:v>Zara</x:v>
      </x:c>
      <x:c r="C21" t="str">
        <x:f>VLOOKUP(A21,Students!$A$2:$F$31,3,FALSE)</x:f>
        <x:v>Naidu</x:v>
      </x:c>
      <x:c r="D21" t="str">
        <x:f>VLOOKUP(A21,Students!$A$2:$F$31,5,FALSE)</x:f>
        <x:v>12B</x:v>
      </x:c>
      <x:c r="E21" s="34" t="n">
        <x:f>AVERAGEIFS(Scores!$F$2:$F$301,Scores!$A$2:$A$301,A21,Scores!$D$2:$D$301,"Final")</x:f>
        <x:v>74.1</x:v>
      </x:c>
      <x:c r="F21" s="36" t="n">
        <x:f>COUNTIFS(Scores!$A$2:$A$301,A21,Scores!$D$2:$D$301,"Final",Scores!$H$2:$H$301,"Pass")/COUNTIFS(Scores!$A$2:$A$301,A21,Scores!$D$2:$D$301,"Final")</x:f>
        <x:v>1</x:v>
      </x:c>
      <x:c r="G21" s="34" t="n">
        <x:f>SUMIFS(Scores!$F$2:$F$301,Scores!$A$2:$A$301,A21,Scores!$B$2:$B$301,"English",Scores!$D$2:$D$301,"Final")</x:f>
        <x:v>61.4</x:v>
      </x:c>
      <x:c r="H21" s="34" t="n">
        <x:f>SUMIFS(Targets!$C$2:$C$16,Targets!$A$2:$A$16,D21,Targets!$B$2:$B$16,"English")</x:f>
        <x:v>80</x:v>
      </x:c>
      <x:c r="I21" t="str">
        <x:f>IF(G21&gt;=H21,"Meets target","Below target")</x:f>
        <x:v>Below target</x:v>
      </x:c>
      <x:c r="J21" t="str">
        <x:v>Maths</x:v>
      </x:c>
    </x:row>
    <x:row r="22">
      <x:c r="A22" t="str">
        <x:v>S021</x:v>
      </x:c>
      <x:c r="B22" t="str">
        <x:f>VLOOKUP(A22,Students!$A$2:$F$31,2,FALSE)</x:f>
        <x:v>Kabir</x:v>
      </x:c>
      <x:c r="C22" t="str">
        <x:f>VLOOKUP(A22,Students!$A$2:$F$31,3,FALSE)</x:f>
        <x:v>Banerjee</x:v>
      </x:c>
      <x:c r="D22" t="str">
        <x:f>VLOOKUP(A22,Students!$A$2:$F$31,5,FALSE)</x:f>
        <x:v>12A</x:v>
      </x:c>
      <x:c r="E22" s="34" t="n">
        <x:f>AVERAGEIFS(Scores!$F$2:$F$301,Scores!$A$2:$A$301,A22,Scores!$D$2:$D$301,"Final")</x:f>
        <x:v>70.1</x:v>
      </x:c>
      <x:c r="F22" s="36" t="n">
        <x:f>COUNTIFS(Scores!$A$2:$A$301,A22,Scores!$D$2:$D$301,"Final",Scores!$H$2:$H$301,"Pass")/COUNTIFS(Scores!$A$2:$A$301,A22,Scores!$D$2:$D$301,"Final")</x:f>
        <x:v>1</x:v>
      </x:c>
      <x:c r="G22" s="34" t="n">
        <x:f>SUMIFS(Scores!$F$2:$F$301,Scores!$A$2:$A$301,A22,Scores!$B$2:$B$301,"English",Scores!$D$2:$D$301,"Final")</x:f>
        <x:v>76.8</x:v>
      </x:c>
      <x:c r="H22" s="34" t="n">
        <x:f>SUMIFS(Targets!$C$2:$C$16,Targets!$A$2:$A$16,D22,Targets!$B$2:$B$16,"English")</x:f>
        <x:v>60</x:v>
      </x:c>
      <x:c r="I22" t="str">
        <x:f>IF(G22&gt;=H22,"Meets target","Below target")</x:f>
        <x:v>Meets target</x:v>
      </x:c>
      <x:c r="J22" t="str">
        <x:v>Computer Science</x:v>
      </x:c>
    </x:row>
    <x:row r="23">
      <x:c r="A23" t="str">
        <x:v>S022</x:v>
      </x:c>
      <x:c r="B23" t="str">
        <x:f>VLOOKUP(A23,Students!$A$2:$F$31,2,FALSE)</x:f>
        <x:v>Rohan</x:v>
      </x:c>
      <x:c r="C23" t="str">
        <x:f>VLOOKUP(A23,Students!$A$2:$F$31,3,FALSE)</x:f>
        <x:v>Roy</x:v>
      </x:c>
      <x:c r="D23" t="str">
        <x:f>VLOOKUP(A23,Students!$A$2:$F$31,5,FALSE)</x:f>
        <x:v>12C</x:v>
      </x:c>
      <x:c r="E23" s="34" t="n">
        <x:f>AVERAGEIFS(Scores!$F$2:$F$301,Scores!$A$2:$A$301,A23,Scores!$D$2:$D$301,"Final")</x:f>
        <x:v>78.02</x:v>
      </x:c>
      <x:c r="F23" s="36" t="n">
        <x:f>COUNTIFS(Scores!$A$2:$A$301,A23,Scores!$D$2:$D$301,"Final",Scores!$H$2:$H$301,"Pass")/COUNTIFS(Scores!$A$2:$A$301,A23,Scores!$D$2:$D$301,"Final")</x:f>
        <x:v>1</x:v>
      </x:c>
      <x:c r="G23" s="34" t="n">
        <x:f>SUMIFS(Scores!$F$2:$F$301,Scores!$A$2:$A$301,A23,Scores!$B$2:$B$301,"English",Scores!$D$2:$D$301,"Final")</x:f>
        <x:v>79.8</x:v>
      </x:c>
      <x:c r="H23" s="34" t="n">
        <x:f>SUMIFS(Targets!$C$2:$C$16,Targets!$A$2:$A$16,D23,Targets!$B$2:$B$16,"English")</x:f>
        <x:v>70</x:v>
      </x:c>
      <x:c r="I23" t="str">
        <x:f>IF(G23&gt;=H23,"Meets target","Below target")</x:f>
        <x:v>Meets target</x:v>
      </x:c>
      <x:c r="J23" t="str">
        <x:v>Maths</x:v>
      </x:c>
    </x:row>
    <x:row r="24">
      <x:c r="A24" t="str">
        <x:v>S023</x:v>
      </x:c>
      <x:c r="B24" t="str">
        <x:f>VLOOKUP(A24,Students!$A$2:$F$31,2,FALSE)</x:f>
        <x:v>Ishaan</x:v>
      </x:c>
      <x:c r="C24" t="str">
        <x:f>VLOOKUP(A24,Students!$A$2:$F$31,3,FALSE)</x:f>
        <x:v>Sen</x:v>
      </x:c>
      <x:c r="D24" t="str">
        <x:f>VLOOKUP(A24,Students!$A$2:$F$31,5,FALSE)</x:f>
        <x:v>12B</x:v>
      </x:c>
      <x:c r="E24" s="34" t="n">
        <x:f>AVERAGEIFS(Scores!$F$2:$F$301,Scores!$A$2:$A$301,A24,Scores!$D$2:$D$301,"Final")</x:f>
        <x:v>74.36000000000001</x:v>
      </x:c>
      <x:c r="F24" s="36" t="n">
        <x:f>COUNTIFS(Scores!$A$2:$A$301,A24,Scores!$D$2:$D$301,"Final",Scores!$H$2:$H$301,"Pass")/COUNTIFS(Scores!$A$2:$A$301,A24,Scores!$D$2:$D$301,"Final")</x:f>
        <x:v>1</x:v>
      </x:c>
      <x:c r="G24" s="34" t="n">
        <x:f>SUMIFS(Scores!$F$2:$F$301,Scores!$A$2:$A$301,A24,Scores!$B$2:$B$301,"English",Scores!$D$2:$D$301,"Final")</x:f>
        <x:v>63.1</x:v>
      </x:c>
      <x:c r="H24" s="34" t="n">
        <x:f>SUMIFS(Targets!$C$2:$C$16,Targets!$A$2:$A$16,D24,Targets!$B$2:$B$16,"English")</x:f>
        <x:v>80</x:v>
      </x:c>
      <x:c r="I24" t="str">
        <x:f>IF(G24&gt;=H24,"Meets target","Below target")</x:f>
        <x:v>Below target</x:v>
      </x:c>
      <x:c r="J24" t="str">
        <x:v>Computer Science</x:v>
      </x:c>
    </x:row>
    <x:row r="25">
      <x:c r="A25" t="str">
        <x:v>S024</x:v>
      </x:c>
      <x:c r="B25" t="str">
        <x:f>VLOOKUP(A25,Students!$A$2:$F$31,2,FALSE)</x:f>
        <x:v>Kunal</x:v>
      </x:c>
      <x:c r="C25" t="str">
        <x:f>VLOOKUP(A25,Students!$A$2:$F$31,3,FALSE)</x:f>
        <x:v>Mishra</x:v>
      </x:c>
      <x:c r="D25" t="str">
        <x:f>VLOOKUP(A25,Students!$A$2:$F$31,5,FALSE)</x:f>
        <x:v>12C</x:v>
      </x:c>
      <x:c r="E25" s="34" t="n">
        <x:f>AVERAGEIFS(Scores!$F$2:$F$301,Scores!$A$2:$A$301,A25,Scores!$D$2:$D$301,"Final")</x:f>
        <x:v>59.67999999999999</x:v>
      </x:c>
      <x:c r="F25" s="36" t="n">
        <x:f>COUNTIFS(Scores!$A$2:$A$301,A25,Scores!$D$2:$D$301,"Final",Scores!$H$2:$H$301,"Pass")/COUNTIFS(Scores!$A$2:$A$301,A25,Scores!$D$2:$D$301,"Final")</x:f>
        <x:v>1</x:v>
      </x:c>
      <x:c r="G25" s="34" t="n">
        <x:f>SUMIFS(Scores!$F$2:$F$301,Scores!$A$2:$A$301,A25,Scores!$B$2:$B$301,"English",Scores!$D$2:$D$301,"Final")</x:f>
        <x:v>64.7</x:v>
      </x:c>
      <x:c r="H25" s="34" t="n">
        <x:f>SUMIFS(Targets!$C$2:$C$16,Targets!$A$2:$A$16,D25,Targets!$B$2:$B$16,"English")</x:f>
        <x:v>70</x:v>
      </x:c>
      <x:c r="I25" t="str">
        <x:f>IF(G25&gt;=H25,"Meets target","Below target")</x:f>
        <x:v>Below target</x:v>
      </x:c>
      <x:c r="J25" t="str">
        <x:v>Computer Science</x:v>
      </x:c>
    </x:row>
    <x:row r="26">
      <x:c r="A26" t="str">
        <x:v>S025</x:v>
      </x:c>
      <x:c r="B26" t="str">
        <x:f>VLOOKUP(A26,Students!$A$2:$F$31,2,FALSE)</x:f>
        <x:v>Lakshay</x:v>
      </x:c>
      <x:c r="C26" t="str">
        <x:f>VLOOKUP(A26,Students!$A$2:$F$31,3,FALSE)</x:f>
        <x:v>Tripathi</x:v>
      </x:c>
      <x:c r="D26" t="str">
        <x:f>VLOOKUP(A26,Students!$A$2:$F$31,5,FALSE)</x:f>
        <x:v>12C</x:v>
      </x:c>
      <x:c r="E26" s="34" t="n">
        <x:f>AVERAGEIFS(Scores!$F$2:$F$301,Scores!$A$2:$A$301,A26,Scores!$D$2:$D$301,"Final")</x:f>
        <x:v>83.94000000000001</x:v>
      </x:c>
      <x:c r="F26" s="36" t="n">
        <x:f>COUNTIFS(Scores!$A$2:$A$301,A26,Scores!$D$2:$D$301,"Final",Scores!$H$2:$H$301,"Pass")/COUNTIFS(Scores!$A$2:$A$301,A26,Scores!$D$2:$D$301,"Final")</x:f>
        <x:v>1</x:v>
      </x:c>
      <x:c r="G26" s="34" t="n">
        <x:f>SUMIFS(Scores!$F$2:$F$301,Scores!$A$2:$A$301,A26,Scores!$B$2:$B$301,"English",Scores!$D$2:$D$301,"Final")</x:f>
        <x:v>89.1</x:v>
      </x:c>
      <x:c r="H26" s="34" t="n">
        <x:f>SUMIFS(Targets!$C$2:$C$16,Targets!$A$2:$A$16,D26,Targets!$B$2:$B$16,"English")</x:f>
        <x:v>70</x:v>
      </x:c>
      <x:c r="I26" t="str">
        <x:f>IF(G26&gt;=H26,"Meets target","Below target")</x:f>
        <x:v>Meets target</x:v>
      </x:c>
      <x:c r="J26" t="str">
        <x:v>Computer Science</x:v>
      </x:c>
    </x:row>
    <x:row r="27">
      <x:c r="A27" t="str">
        <x:v>S026</x:v>
      </x:c>
      <x:c r="B27" t="str">
        <x:f>VLOOKUP(A27,Students!$A$2:$F$31,2,FALSE)</x:f>
        <x:v>Mihir</x:v>
      </x:c>
      <x:c r="C27" t="str">
        <x:f>VLOOKUP(A27,Students!$A$2:$F$31,3,FALSE)</x:f>
        <x:v>Pandey</x:v>
      </x:c>
      <x:c r="D27" t="str">
        <x:f>VLOOKUP(A27,Students!$A$2:$F$31,5,FALSE)</x:f>
        <x:v>12C</x:v>
      </x:c>
      <x:c r="E27" s="34" t="n">
        <x:f>AVERAGEIFS(Scores!$F$2:$F$301,Scores!$A$2:$A$301,A27,Scores!$D$2:$D$301,"Final")</x:f>
        <x:v>77.35999999999999</x:v>
      </x:c>
      <x:c r="F27" s="36" t="n">
        <x:f>COUNTIFS(Scores!$A$2:$A$301,A27,Scores!$D$2:$D$301,"Final",Scores!$H$2:$H$301,"Pass")/COUNTIFS(Scores!$A$2:$A$301,A27,Scores!$D$2:$D$301,"Final")</x:f>
        <x:v>1</x:v>
      </x:c>
      <x:c r="G27" s="34" t="n">
        <x:f>SUMIFS(Scores!$F$2:$F$301,Scores!$A$2:$A$301,A27,Scores!$B$2:$B$301,"English",Scores!$D$2:$D$301,"Final")</x:f>
        <x:v>76.9</x:v>
      </x:c>
      <x:c r="H27" s="34" t="n">
        <x:f>SUMIFS(Targets!$C$2:$C$16,Targets!$A$2:$A$16,D27,Targets!$B$2:$B$16,"English")</x:f>
        <x:v>70</x:v>
      </x:c>
      <x:c r="I27" t="str">
        <x:f>IF(G27&gt;=H27,"Meets target","Below target")</x:f>
        <x:v>Meets target</x:v>
      </x:c>
      <x:c r="J27" t="str">
        <x:v>Computer Science</x:v>
      </x:c>
    </x:row>
    <x:row r="28">
      <x:c r="A28" t="str">
        <x:v>S027</x:v>
      </x:c>
      <x:c r="B28" t="str">
        <x:f>VLOOKUP(A28,Students!$A$2:$F$31,2,FALSE)</x:f>
        <x:v>Nikhil</x:v>
      </x:c>
      <x:c r="C28" t="str">
        <x:f>VLOOKUP(A28,Students!$A$2:$F$31,3,FALSE)</x:f>
        <x:v>Yadav</x:v>
      </x:c>
      <x:c r="D28" t="str">
        <x:f>VLOOKUP(A28,Students!$A$2:$F$31,5,FALSE)</x:f>
        <x:v>12C</x:v>
      </x:c>
      <x:c r="E28" s="34" t="n">
        <x:f>AVERAGEIFS(Scores!$F$2:$F$301,Scores!$A$2:$A$301,A28,Scores!$D$2:$D$301,"Final")</x:f>
        <x:v>65.44000000000001</x:v>
      </x:c>
      <x:c r="F28" s="36" t="n">
        <x:f>COUNTIFS(Scores!$A$2:$A$301,A28,Scores!$D$2:$D$301,"Final",Scores!$H$2:$H$301,"Pass")/COUNTIFS(Scores!$A$2:$A$301,A28,Scores!$D$2:$D$301,"Final")</x:f>
        <x:v>1</x:v>
      </x:c>
      <x:c r="G28" s="34" t="n">
        <x:f>SUMIFS(Scores!$F$2:$F$301,Scores!$A$2:$A$301,A28,Scores!$B$2:$B$301,"English",Scores!$D$2:$D$301,"Final")</x:f>
        <x:v>66</x:v>
      </x:c>
      <x:c r="H28" s="34" t="n">
        <x:f>SUMIFS(Targets!$C$2:$C$16,Targets!$A$2:$A$16,D28,Targets!$B$2:$B$16,"English")</x:f>
        <x:v>70</x:v>
      </x:c>
      <x:c r="I28" t="str">
        <x:f>IF(G28&gt;=H28,"Meets target","Below target")</x:f>
        <x:v>Below target</x:v>
      </x:c>
      <x:c r="J28" t="str">
        <x:v>Maths</x:v>
      </x:c>
    </x:row>
    <x:row r="29">
      <x:c r="A29" t="str">
        <x:v>S028</x:v>
      </x:c>
      <x:c r="B29" t="str">
        <x:f>VLOOKUP(A29,Students!$A$2:$F$31,2,FALSE)</x:f>
        <x:v>Parth</x:v>
      </x:c>
      <x:c r="C29" t="str">
        <x:f>VLOOKUP(A29,Students!$A$2:$F$31,3,FALSE)</x:f>
        <x:v>Thakur</x:v>
      </x:c>
      <x:c r="D29" t="str">
        <x:f>VLOOKUP(A29,Students!$A$2:$F$31,5,FALSE)</x:f>
        <x:v>12A</x:v>
      </x:c>
      <x:c r="E29" s="34" t="n">
        <x:f>AVERAGEIFS(Scores!$F$2:$F$301,Scores!$A$2:$A$301,A29,Scores!$D$2:$D$301,"Final")</x:f>
        <x:v>80.24</x:v>
      </x:c>
      <x:c r="F29" s="36" t="n">
        <x:f>COUNTIFS(Scores!$A$2:$A$301,A29,Scores!$D$2:$D$301,"Final",Scores!$H$2:$H$301,"Pass")/COUNTIFS(Scores!$A$2:$A$301,A29,Scores!$D$2:$D$301,"Final")</x:f>
        <x:v>1</x:v>
      </x:c>
      <x:c r="G29" s="34" t="n">
        <x:f>SUMIFS(Scores!$F$2:$F$301,Scores!$A$2:$A$301,A29,Scores!$B$2:$B$301,"English",Scores!$D$2:$D$301,"Final")</x:f>
        <x:v>83.3</x:v>
      </x:c>
      <x:c r="H29" s="34" t="n">
        <x:f>SUMIFS(Targets!$C$2:$C$16,Targets!$A$2:$A$16,D29,Targets!$B$2:$B$16,"English")</x:f>
        <x:v>60</x:v>
      </x:c>
      <x:c r="I29" t="str">
        <x:f>IF(G29&gt;=H29,"Meets target","Below target")</x:f>
        <x:v>Meets target</x:v>
      </x:c>
      <x:c r="J29" t="str">
        <x:v>Computer Science</x:v>
      </x:c>
    </x:row>
    <x:row r="30">
      <x:c r="A30" t="str">
        <x:v>S029</x:v>
      </x:c>
      <x:c r="B30" t="str">
        <x:f>VLOOKUP(A30,Students!$A$2:$F$31,2,FALSE)</x:f>
        <x:v>Rudra</x:v>
      </x:c>
      <x:c r="C30" t="str">
        <x:f>VLOOKUP(A30,Students!$A$2:$F$31,3,FALSE)</x:f>
        <x:v>Saxena</x:v>
      </x:c>
      <x:c r="D30" t="str">
        <x:f>VLOOKUP(A30,Students!$A$2:$F$31,5,FALSE)</x:f>
        <x:v>12B</x:v>
      </x:c>
      <x:c r="E30" s="34" t="n">
        <x:f>AVERAGEIFS(Scores!$F$2:$F$301,Scores!$A$2:$A$301,A30,Scores!$D$2:$D$301,"Final")</x:f>
        <x:v>72.48</x:v>
      </x:c>
      <x:c r="F30" s="36" t="n">
        <x:f>COUNTIFS(Scores!$A$2:$A$301,A30,Scores!$D$2:$D$301,"Final",Scores!$H$2:$H$301,"Pass")/COUNTIFS(Scores!$A$2:$A$301,A30,Scores!$D$2:$D$301,"Final")</x:f>
        <x:v>1</x:v>
      </x:c>
      <x:c r="G30" s="34" t="n">
        <x:f>SUMIFS(Scores!$F$2:$F$301,Scores!$A$2:$A$301,A30,Scores!$B$2:$B$301,"English",Scores!$D$2:$D$301,"Final")</x:f>
        <x:v>67.7</x:v>
      </x:c>
      <x:c r="H30" s="34" t="n">
        <x:f>SUMIFS(Targets!$C$2:$C$16,Targets!$A$2:$A$16,D30,Targets!$B$2:$B$16,"English")</x:f>
        <x:v>80</x:v>
      </x:c>
      <x:c r="I30" t="str">
        <x:f>IF(G30&gt;=H30,"Meets target","Below target")</x:f>
        <x:v>Below target</x:v>
      </x:c>
      <x:c r="J30" t="str">
        <x:v>Computer Science</x:v>
      </x:c>
    </x:row>
    <x:row r="31">
      <x:c r="A31" t="str">
        <x:v>S030</x:v>
      </x:c>
      <x:c r="B31" t="str">
        <x:f>VLOOKUP(A31,Students!$A$2:$F$31,2,FALSE)</x:f>
        <x:v>Yash</x:v>
      </x:c>
      <x:c r="C31" t="str">
        <x:f>VLOOKUP(A31,Students!$A$2:$F$31,3,FALSE)</x:f>
        <x:v>Bose</x:v>
      </x:c>
      <x:c r="D31" t="str">
        <x:f>VLOOKUP(A31,Students!$A$2:$F$31,5,FALSE)</x:f>
        <x:v>12A</x:v>
      </x:c>
      <x:c r="E31" s="34" t="n">
        <x:f>AVERAGEIFS(Scores!$F$2:$F$301,Scores!$A$2:$A$301,A31,Scores!$D$2:$D$301,"Final")</x:f>
        <x:v>64.3</x:v>
      </x:c>
      <x:c r="F31" s="36" t="n">
        <x:f>COUNTIFS(Scores!$A$2:$A$301,A31,Scores!$D$2:$D$301,"Final",Scores!$H$2:$H$301,"Pass")/COUNTIFS(Scores!$A$2:$A$301,A31,Scores!$D$2:$D$301,"Final")</x:f>
        <x:v>1</x:v>
      </x:c>
      <x:c r="G31" s="34" t="n">
        <x:f>SUMIFS(Scores!$F$2:$F$301,Scores!$A$2:$A$301,A31,Scores!$B$2:$B$301,"English",Scores!$D$2:$D$301,"Final")</x:f>
        <x:v>50.1</x:v>
      </x:c>
      <x:c r="H31" s="34" t="n">
        <x:f>SUMIFS(Targets!$C$2:$C$16,Targets!$A$2:$A$16,D31,Targets!$B$2:$B$16,"English")</x:f>
        <x:v>60</x:v>
      </x:c>
      <x:c r="I31" t="str">
        <x:f>IF(G31&gt;=H31,"Meets target","Below target")</x:f>
        <x:v>Below target</x:v>
      </x:c>
      <x:c r="J31" t="str">
        <x:v>Computer Science</x:v>
      </x:c>
    </x:row>
  </x:sheetData>
  <x:conditionalFormatting sqref="I2:I31">
    <x:cfRule type="expression" dxfId="2" priority="1">
      <x:formula>I2="Below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05482d2f4c4d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26" hidden="0" customWidth="1"/>
    <x:col min="5" max="5" width="17" hidden="0" customWidth="1"/>
  </x:cols>
  <x:sheetData>
    <x:row r="1">
      <x:c r="A1" s="27" t="str">
        <x:v>Class</x:v>
      </x:c>
      <x:c r="B1" s="27" t="str">
        <x:v>Students</x:v>
      </x:c>
      <x:c r="C1" s="27" t="str">
        <x:v>Average Final Score</x:v>
      </x:c>
      <x:c r="D1" s="27" t="str">
        <x:v>English Target Attainment</x:v>
      </x:c>
      <x:c r="E1" s="27" t="str">
        <x:v>Final Pass Rate</x:v>
      </x:c>
    </x:row>
    <x:row r="2">
      <x:c r="A2" t="str">
        <x:v>12A</x:v>
      </x:c>
      <x:c r="B2" t="n">
        <x:f>COUNTIF(Students!$E$2:$E$31,A2)</x:f>
        <x:v>14</x:v>
      </x:c>
      <x:c r="C2" s="34" t="n">
        <x:f>AVERAGEIF('Student Summary'!$D$2:$D$31,A2,'Student Summary'!$E$2:$E$31)</x:f>
        <x:v>66.92999999999999</x:v>
      </x:c>
      <x:c r="D2" s="36" t="n">
        <x:f>COUNTIFS('Student Summary'!$D$2:$D$31,A2,'Student Summary'!$I$2:$I$31,"Meets target")/COUNTIF('Student Summary'!$D$2:$D$31,A2)</x:f>
        <x:v>0.8571428571428571</x:v>
      </x:c>
      <x:c r="E2" s="36" t="n">
        <x:f>AVERAGEIF('Student Summary'!$D$2:$D$31,A2,'Student Summary'!$F$2:$F$31)</x:f>
        <x:v>1</x:v>
      </x:c>
    </x:row>
    <x:row r="3">
      <x:c r="A3" t="str">
        <x:v>12B</x:v>
      </x:c>
      <x:c r="B3" t="n">
        <x:f>COUNTIF(Students!$E$2:$E$31,A3)</x:f>
        <x:v>5</x:v>
      </x:c>
      <x:c r="C3" s="34" t="n">
        <x:f>AVERAGEIF('Student Summary'!$D$2:$D$31,A3,'Student Summary'!$E$2:$E$31)</x:f>
        <x:v>72.228</x:v>
      </x:c>
      <x:c r="D3" s="36" t="n">
        <x:f>COUNTIFS('Student Summary'!$D$2:$D$31,A3,'Student Summary'!$I$2:$I$31,"Meets target")/COUNTIF('Student Summary'!$D$2:$D$31,A3)</x:f>
        <x:v>0</x:v>
      </x:c>
      <x:c r="E3" s="36" t="n">
        <x:f>AVERAGEIF('Student Summary'!$D$2:$D$31,A3,'Student Summary'!$F$2:$F$31)</x:f>
        <x:v>1</x:v>
      </x:c>
    </x:row>
    <x:row r="4">
      <x:c r="A4" t="str">
        <x:v>12C</x:v>
      </x:c>
      <x:c r="B4" t="n">
        <x:f>COUNTIF(Students!$E$2:$E$31,A4)</x:f>
        <x:v>11</x:v>
      </x:c>
      <x:c r="C4" s="34" t="n">
        <x:f>AVERAGEIF('Student Summary'!$D$2:$D$31,A4,'Student Summary'!$E$2:$E$31)</x:f>
        <x:v>71.30545454545455</x:v>
      </x:c>
      <x:c r="D4" s="36" t="n">
        <x:f>COUNTIFS('Student Summary'!$D$2:$D$31,A4,'Student Summary'!$I$2:$I$31,"Meets target")/COUNTIF('Student Summary'!$D$2:$D$31,A4)</x:f>
        <x:v>0.6363636363636364</x:v>
      </x:c>
      <x:c r="E4" s="36" t="n">
        <x:f>AVERAGEIF('Student Summary'!$D$2:$D$31,A4,'Student Summary'!$F$2:$F$31)</x:f>
        <x:v>1</x:v>
      </x:c>
    </x:row>
    <x:row r="7">
      <x:c r="A7" s="27" t="str">
        <x:v>Class</x:v>
      </x:c>
      <x:c r="B7" s="27" t="str">
        <x:v>Average Final Score</x:v>
      </x:c>
      <x:c r="D7" s="27" t="str">
        <x:v>Class</x:v>
      </x:c>
      <x:c r="E7" s="27" t="str">
        <x:v>English Target Attainment</x:v>
      </x:c>
    </x:row>
    <x:row r="8">
      <x:c r="A8" t="str">
        <x:v>12A</x:v>
      </x:c>
      <x:c r="B8" s="34" t="n">
        <x:f>C2</x:f>
        <x:v>66.92999999999999</x:v>
      </x:c>
      <x:c r="D8" t="str">
        <x:v>12A</x:v>
      </x:c>
      <x:c r="E8" s="36" t="n">
        <x:f>D2</x:f>
        <x:v>0.8571428571428571</x:v>
      </x:c>
    </x:row>
    <x:row r="9">
      <x:c r="A9" t="str">
        <x:v>12B</x:v>
      </x:c>
      <x:c r="B9" s="34" t="n">
        <x:f>C3</x:f>
        <x:v>72.228</x:v>
      </x:c>
      <x:c r="D9" t="str">
        <x:v>12B</x:v>
      </x:c>
      <x:c r="E9" s="36" t="n">
        <x:f>D3</x:f>
        <x:v>0</x:v>
      </x:c>
    </x:row>
    <x:row r="10">
      <x:c r="A10" t="str">
        <x:v>12C</x:v>
      </x:c>
      <x:c r="B10" s="34" t="n">
        <x:f>C4</x:f>
        <x:v>71.30545454545455</x:v>
      </x:c>
      <x:c r="D10" t="str">
        <x:v>12C</x:v>
      </x:c>
      <x:c r="E10" s="36" t="n">
        <x:f>D4</x:f>
        <x:v>0.6363636363636364</x:v>
      </x:c>
    </x:row>
  </x:sheetData>
  <x:pageMargins left="0.7" right="0.7" top="0.75" bottom="0.75" header="0.3" footer="0.3"/>
  <x:drawing xmlns:r="http://schemas.openxmlformats.org/officeDocument/2006/relationships" r:id="R5b126103390e4e79"/>
</x:worksheet>
</file>