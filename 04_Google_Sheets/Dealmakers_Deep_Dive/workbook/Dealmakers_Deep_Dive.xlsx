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eabaa62ff845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ab419af4deb4a58"/>
    <x:sheet xmlns:r="http://schemas.openxmlformats.org/officeDocument/2006/relationships" name="Sales Data" sheetId="2" r:id="Rdff676cfd17d4fde"/>
    <x:sheet xmlns:r="http://schemas.openxmlformats.org/officeDocument/2006/relationships" name="Summary" sheetId="3" r:id="R489a7269cf0645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"/>
    <x:numFmt numFmtId="201" formatCode="$#,##0.00"/>
    <x:numFmt numFmtId="202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  <x:dxfs count="1">
    <x:dxf>
      <x:font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b3f65f49754d73" /><Relationship Type="http://schemas.openxmlformats.org/officeDocument/2006/relationships/theme" Target="/xl/theme/theme1.xml" Id="R003a00d6a5554961" /><Relationship Type="http://schemas.openxmlformats.org/officeDocument/2006/relationships/sharedStrings" Target="/xl/sharedStrings.xml" Id="Rbb169014d6894c6d" /><Relationship Type="http://schemas.openxmlformats.org/officeDocument/2006/relationships/worksheet" Target="/xl/worksheets/sheet1.xml" Id="R5ab419af4deb4a58" /><Relationship Type="http://schemas.openxmlformats.org/officeDocument/2006/relationships/worksheet" Target="/xl/worksheets/sheet2.xml" Id="Rdff676cfd17d4fde" /><Relationship Type="http://schemas.openxmlformats.org/officeDocument/2006/relationships/worksheet" Target="/xl/worksheets/sheet3.xml" Id="R489a7269cf0645b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f95b8faa8c747f6" /><Relationship Type="http://schemas.openxmlformats.org/officeDocument/2006/relationships/chart" Target="/xl/drawings/charts/chart2.xml" Id="Rfb64a5a7aa9e426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Revenue by Salesperson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Revenue</c:v>
          </c:tx>
          <c:cat>
            <c:strRef>
              <c:f>'Summary'!$A$11:$A$14</c:f>
              <c:strCache>
                <c:ptCount val="0"/>
              </c:strCache>
            </c:strRef>
          </c:cat>
          <c:val>
            <c:numRef>
              <c:f>'Summary'!$B$11:$B$14</c:f>
              <c:numCache>
                <c:formatCode>$#,##0.00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Revenue by Region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Revenue</c:v>
          </c:tx>
          <c:cat>
            <c:strRef>
              <c:f>'Summary'!$D$11:$D$14</c:f>
              <c:strCache>
                <c:ptCount val="0"/>
              </c:strCache>
            </c:strRef>
          </c:cat>
          <c:val>
            <c:numRef>
              <c:f>'Summary'!$E$11:$E$14</c:f>
              <c:numCache>
                <c:formatCode>$#,##0.00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17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f95b8faa8c747f6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17</xdr:col>
      <xdr:colOff>0</xdr:colOff>
      <xdr:row>32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b64a5a7aa9e426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alesDataTable" displayName="SalesDataTable" ref="A1:J25" headerRowCount="1">
  <x:tableColumns count="10">
    <x:tableColumn id="1" name="OrderID"/>
    <x:tableColumn id="2" name="Salesperson"/>
    <x:tableColumn id="3" name="Region"/>
    <x:tableColumn id="4" name="Product"/>
    <x:tableColumn id="5" name="Category"/>
    <x:tableColumn id="6" name="Units"/>
    <x:tableColumn id="7" name="UnitPrice"/>
    <x:tableColumn id="8" name="Revenue"/>
    <x:tableColumn id="9" name="Revenue Share"/>
    <x:tableColumn id="10" name="Revenue Ban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3de455278bd4eb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71d1ca8348b94ce1" /></Relationships>
</file>

<file path=xl/worksheets/sheet1.xml><?xml version="1.0" encoding="utf-8"?>
<x:worksheet xmlns:x="http://schemas.openxmlformats.org/spreadsheetml/2006/main">
  <x:sheetFormatPr defaultRowHeight="15"/>
  <x:cols>
    <x:col min="1" max="1" width="25.5" hidden="0" customWidth="1"/>
    <x:col min="2" max="2" width="55" hidden="0" customWidth="1"/>
  </x:cols>
  <x:sheetData>
    <x:row r="1">
      <x:c r="A1" s="20" t="str">
        <x:v>Dealmakers Deep Dive</x:v>
      </x:c>
      <x:c r="B1" s="20"/>
      <x:c r="C1" s="20"/>
      <x:c r="D1" s="20"/>
      <x:c r="E1" s="20"/>
      <x:c r="F1" s="20"/>
    </x:row>
    <x:row r="2">
      <x:c r="A2" s="21"/>
      <x:c r="B2" s="21"/>
      <x:c r="C2" s="21"/>
      <x:c r="D2" s="21"/>
      <x:c r="E2" s="21"/>
      <x:c r="F2" s="21"/>
    </x:row>
    <x:row r="3">
      <x:c r="A3" s="22" t="str">
        <x:v>Purpose</x:v>
      </x:c>
      <x:c r="B3" s="21" t="str">
        <x:v>Analyze revenue by salesperson, region, category, and product.</x:v>
      </x:c>
      <x:c r="C3" s="21"/>
      <x:c r="D3" s="21"/>
      <x:c r="E3" s="21"/>
      <x:c r="F3" s="21"/>
    </x:row>
    <x:row r="4">
      <x:c r="A4" s="22" t="str">
        <x:v>Data quality</x:v>
      </x:c>
      <x:c r="B4" s="21" t="str">
        <x:v>One exact duplicate O1024 was removed from the supplied source.</x:v>
      </x:c>
      <x:c r="C4" s="21"/>
      <x:c r="D4" s="21"/>
      <x:c r="E4" s="21"/>
      <x:c r="F4" s="21"/>
    </x:row>
    <x:row r="5">
      <x:c r="A5" s="22" t="str">
        <x:v>Unique orders</x:v>
      </x:c>
      <x:c r="B5" s="21" t="n">
        <x:v>24</x:v>
      </x:c>
      <x:c r="C5" s="21"/>
      <x:c r="D5" s="21"/>
      <x:c r="E5" s="21"/>
      <x:c r="F5" s="21"/>
    </x:row>
    <x:row r="6">
      <x:c r="A6" s="22" t="str">
        <x:v>Clean total revenue</x:v>
      </x:c>
      <x:c r="B6" s="23" t="n">
        <x:v>21620</x:v>
      </x:c>
      <x:c r="C6" s="21"/>
      <x:c r="D6" s="21"/>
      <x:c r="E6" s="21"/>
      <x:c r="F6" s="21"/>
    </x:row>
    <x:row r="7">
      <x:c r="A7" s="22" t="str">
        <x:v>Formula logic</x:v>
      </x:c>
      <x:c r="B7" s="21" t="str">
        <x:v>Revenue = Units × UnitPrice; summary tables use SUMIF and COUNTIF.</x:v>
      </x:c>
      <x:c r="C7" s="21"/>
      <x:c r="D7" s="21"/>
      <x:c r="E7" s="21"/>
      <x:c r="F7" s="21"/>
    </x:row>
    <x:row r="8">
      <x:c r="A8" s="22" t="str">
        <x:v>Use</x:v>
      </x:c>
      <x:c r="B8" s="21" t="str">
        <x:v>Open in Excel or upload to Google Sheets.</x:v>
      </x:c>
      <x:c r="C8" s="21"/>
      <x:c r="D8" s="21"/>
      <x:c r="E8" s="21"/>
      <x:c r="F8" s="21"/>
    </x:row>
    <x:row r="9">
      <x:c r="A9" s="22"/>
      <x:c r="B9" s="21"/>
      <x:c r="C9" s="21"/>
      <x:c r="D9" s="21"/>
      <x:c r="E9" s="21"/>
      <x:c r="F9" s="21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.630000114440918" hidden="0" customWidth="1"/>
    <x:col min="2" max="2" width="9.630000114440918" hidden="0" customWidth="1"/>
    <x:col min="3" max="3" width="5.75" hidden="0" customWidth="1"/>
    <x:col min="4" max="4" width="7.630000114440918" hidden="0" customWidth="1"/>
    <x:col min="5" max="5" width="9.130000114440918" hidden="0" customWidth="1"/>
    <x:col min="6" max="6" width="4.5" hidden="0" customWidth="1"/>
    <x:col min="7" max="7" width="7.630000114440918" hidden="0" customWidth="1"/>
    <x:col min="8" max="8" width="8" hidden="0" customWidth="1"/>
    <x:col min="9" max="9" width="11.880000114440918" hidden="0" customWidth="1"/>
    <x:col min="10" max="10" width="11.5" hidden="0" customWidth="1"/>
  </x:cols>
  <x:sheetData>
    <x:row r="1">
      <x:c r="A1" s="31" t="str">
        <x:v>OrderID</x:v>
      </x:c>
      <x:c r="B1" s="31" t="str">
        <x:v>Salesperson</x:v>
      </x:c>
      <x:c r="C1" s="31" t="str">
        <x:v>Region</x:v>
      </x:c>
      <x:c r="D1" s="31" t="str">
        <x:v>Product</x:v>
      </x:c>
      <x:c r="E1" s="31" t="str">
        <x:v>Category</x:v>
      </x:c>
      <x:c r="F1" s="31" t="str">
        <x:v>Units</x:v>
      </x:c>
      <x:c r="G1" s="31" t="str">
        <x:v>UnitPrice</x:v>
      </x:c>
      <x:c r="H1" s="31" t="str">
        <x:v>Revenue</x:v>
      </x:c>
      <x:c r="I1" s="31" t="str">
        <x:v>Revenue Share</x:v>
      </x:c>
      <x:c r="J1" s="31" t="str">
        <x:v>Revenue Band</x:v>
      </x:c>
    </x:row>
    <x:row r="2">
      <x:c r="A2" t="str">
        <x:v>O1001</x:v>
      </x:c>
      <x:c r="B2" t="str">
        <x:v>Asha</x:v>
      </x:c>
      <x:c r="C2" t="str">
        <x:v>North</x:v>
      </x:c>
      <x:c r="D2" t="str">
        <x:v>Laptop</x:v>
      </x:c>
      <x:c r="E2" t="str">
        <x:v>Electronics</x:v>
      </x:c>
      <x:c r="F2" t="n">
        <x:v>5</x:v>
      </x:c>
      <x:c r="G2" s="36" t="n">
        <x:v>500</x:v>
      </x:c>
      <x:c r="H2" s="36" t="n">
        <x:f>F2*G2</x:f>
        <x:v>2500</x:v>
      </x:c>
      <x:c r="I2" s="38" t="n">
        <x:f>H2/SUM($H$2:$H$25)</x:f>
        <x:v>0.11563367252543941</x:v>
      </x:c>
      <x:c r="J2" t="str">
        <x:f>IF(H2&gt;=1000,"High","Low")</x:f>
        <x:v>High</x:v>
      </x:c>
    </x:row>
    <x:row r="3">
      <x:c r="A3" t="str">
        <x:v>O1002</x:v>
      </x:c>
      <x:c r="B3" t="str">
        <x:v>Ravi</x:v>
      </x:c>
      <x:c r="C3" t="str">
        <x:v>South</x:v>
      </x:c>
      <x:c r="D3" t="str">
        <x:v>Mouse</x:v>
      </x:c>
      <x:c r="E3" t="str">
        <x:v>Accessories</x:v>
      </x:c>
      <x:c r="F3" t="n">
        <x:v>20</x:v>
      </x:c>
      <x:c r="G3" s="36" t="n">
        <x:v>20</x:v>
      </x:c>
      <x:c r="H3" s="36" t="n">
        <x:f>F3*G3</x:f>
        <x:v>400</x:v>
      </x:c>
      <x:c r="I3" s="38" t="n">
        <x:f>H3/SUM($H$2:$H$25)</x:f>
        <x:v>0.018501387604070305</x:v>
      </x:c>
      <x:c r="J3" t="str">
        <x:f>IF(H3&gt;=1000,"High","Low")</x:f>
        <x:v>Low</x:v>
      </x:c>
    </x:row>
    <x:row r="4">
      <x:c r="A4" t="str">
        <x:v>O1003</x:v>
      </x:c>
      <x:c r="B4" t="str">
        <x:v>Neha</x:v>
      </x:c>
      <x:c r="C4" t="str">
        <x:v>West</x:v>
      </x:c>
      <x:c r="D4" t="str">
        <x:v>Keyboard</x:v>
      </x:c>
      <x:c r="E4" t="str">
        <x:v>Accessories</x:v>
      </x:c>
      <x:c r="F4" t="n">
        <x:v>15</x:v>
      </x:c>
      <x:c r="G4" s="36" t="n">
        <x:v>30</x:v>
      </x:c>
      <x:c r="H4" s="36" t="n">
        <x:f>F4*G4</x:f>
        <x:v>450</x:v>
      </x:c>
      <x:c r="I4" s="38" t="n">
        <x:f>H4/SUM($H$2:$H$25)</x:f>
        <x:v>0.020814061054579093</x:v>
      </x:c>
      <x:c r="J4" t="str">
        <x:f>IF(H4&gt;=1000,"High","Low")</x:f>
        <x:v>Low</x:v>
      </x:c>
    </x:row>
    <x:row r="5">
      <x:c r="A5" t="str">
        <x:v>O1004</x:v>
      </x:c>
      <x:c r="B5" t="str">
        <x:v>Amit</x:v>
      </x:c>
      <x:c r="C5" t="str">
        <x:v>East</x:v>
      </x:c>
      <x:c r="D5" t="str">
        <x:v>Monitor</x:v>
      </x:c>
      <x:c r="E5" t="str">
        <x:v>Electronics</x:v>
      </x:c>
      <x:c r="F5" t="n">
        <x:v>7</x:v>
      </x:c>
      <x:c r="G5" s="36" t="n">
        <x:v>180</x:v>
      </x:c>
      <x:c r="H5" s="36" t="n">
        <x:f>F5*G5</x:f>
        <x:v>1260</x:v>
      </x:c>
      <x:c r="I5" s="38" t="n">
        <x:f>H5/SUM($H$2:$H$25)</x:f>
        <x:v>0.058279370952821465</x:v>
      </x:c>
      <x:c r="J5" t="str">
        <x:f>IF(H5&gt;=1000,"High","Low")</x:f>
        <x:v>High</x:v>
      </x:c>
    </x:row>
    <x:row r="6">
      <x:c r="A6" t="str">
        <x:v>O1005</x:v>
      </x:c>
      <x:c r="B6" t="str">
        <x:v>Asha</x:v>
      </x:c>
      <x:c r="C6" t="str">
        <x:v>North</x:v>
      </x:c>
      <x:c r="D6" t="str">
        <x:v>Printer</x:v>
      </x:c>
      <x:c r="E6" t="str">
        <x:v>Office</x:v>
      </x:c>
      <x:c r="F6" t="n">
        <x:v>3</x:v>
      </x:c>
      <x:c r="G6" s="36" t="n">
        <x:v>220</x:v>
      </x:c>
      <x:c r="H6" s="36" t="n">
        <x:f>F6*G6</x:f>
        <x:v>660</x:v>
      </x:c>
      <x:c r="I6" s="38" t="n">
        <x:f>H6/SUM($H$2:$H$25)</x:f>
        <x:v>0.030527289546716005</x:v>
      </x:c>
      <x:c r="J6" t="str">
        <x:f>IF(H6&gt;=1000,"High","Low")</x:f>
        <x:v>Low</x:v>
      </x:c>
    </x:row>
    <x:row r="7">
      <x:c r="A7" t="str">
        <x:v>O1006</x:v>
      </x:c>
      <x:c r="B7" t="str">
        <x:v>Ravi</x:v>
      </x:c>
      <x:c r="C7" t="str">
        <x:v>West</x:v>
      </x:c>
      <x:c r="D7" t="str">
        <x:v>Laptop</x:v>
      </x:c>
      <x:c r="E7" t="str">
        <x:v>Electronics</x:v>
      </x:c>
      <x:c r="F7" t="n">
        <x:v>2</x:v>
      </x:c>
      <x:c r="G7" s="36" t="n">
        <x:v>500</x:v>
      </x:c>
      <x:c r="H7" s="36" t="n">
        <x:f>F7*G7</x:f>
        <x:v>1000</x:v>
      </x:c>
      <x:c r="I7" s="38" t="n">
        <x:f>H7/SUM($H$2:$H$25)</x:f>
        <x:v>0.04625346901017576</x:v>
      </x:c>
      <x:c r="J7" t="str">
        <x:f>IF(H7&gt;=1000,"High","Low")</x:f>
        <x:v>High</x:v>
      </x:c>
    </x:row>
    <x:row r="8">
      <x:c r="A8" t="str">
        <x:v>O1007</x:v>
      </x:c>
      <x:c r="B8" t="str">
        <x:v>Neha</x:v>
      </x:c>
      <x:c r="C8" t="str">
        <x:v>South</x:v>
      </x:c>
      <x:c r="D8" t="str">
        <x:v>Chair</x:v>
      </x:c>
      <x:c r="E8" t="str">
        <x:v>Furniture</x:v>
      </x:c>
      <x:c r="F8" t="n">
        <x:v>6</x:v>
      </x:c>
      <x:c r="G8" s="36" t="n">
        <x:v>90</x:v>
      </x:c>
      <x:c r="H8" s="36" t="n">
        <x:f>F8*G8</x:f>
        <x:v>540</x:v>
      </x:c>
      <x:c r="I8" s="38" t="n">
        <x:f>H8/SUM($H$2:$H$25)</x:f>
        <x:v>0.02497687326549491</x:v>
      </x:c>
      <x:c r="J8" t="str">
        <x:f>IF(H8&gt;=1000,"High","Low")</x:f>
        <x:v>Low</x:v>
      </x:c>
    </x:row>
    <x:row r="9">
      <x:c r="A9" t="str">
        <x:v>O1008</x:v>
      </x:c>
      <x:c r="B9" t="str">
        <x:v>Amit</x:v>
      </x:c>
      <x:c r="C9" t="str">
        <x:v>East</x:v>
      </x:c>
      <x:c r="D9" t="str">
        <x:v>Desk</x:v>
      </x:c>
      <x:c r="E9" t="str">
        <x:v>Furniture</x:v>
      </x:c>
      <x:c r="F9" t="n">
        <x:v>2</x:v>
      </x:c>
      <x:c r="G9" s="36" t="n">
        <x:v>200</x:v>
      </x:c>
      <x:c r="H9" s="36" t="n">
        <x:f>F9*G9</x:f>
        <x:v>400</x:v>
      </x:c>
      <x:c r="I9" s="38" t="n">
        <x:f>H9/SUM($H$2:$H$25)</x:f>
        <x:v>0.018501387604070305</x:v>
      </x:c>
      <x:c r="J9" t="str">
        <x:f>IF(H9&gt;=1000,"High","Low")</x:f>
        <x:v>Low</x:v>
      </x:c>
    </x:row>
    <x:row r="10">
      <x:c r="A10" t="str">
        <x:v>O1009</x:v>
      </x:c>
      <x:c r="B10" t="str">
        <x:v>Asha</x:v>
      </x:c>
      <x:c r="C10" t="str">
        <x:v>West</x:v>
      </x:c>
      <x:c r="D10" t="str">
        <x:v>Mouse</x:v>
      </x:c>
      <x:c r="E10" t="str">
        <x:v>Accessories</x:v>
      </x:c>
      <x:c r="F10" t="n">
        <x:v>25</x:v>
      </x:c>
      <x:c r="G10" s="36" t="n">
        <x:v>20</x:v>
      </x:c>
      <x:c r="H10" s="36" t="n">
        <x:f>F10*G10</x:f>
        <x:v>500</x:v>
      </x:c>
      <x:c r="I10" s="38" t="n">
        <x:f>H10/SUM($H$2:$H$25)</x:f>
        <x:v>0.02312673450508788</x:v>
      </x:c>
      <x:c r="J10" t="str">
        <x:f>IF(H10&gt;=1000,"High","Low")</x:f>
        <x:v>Low</x:v>
      </x:c>
    </x:row>
    <x:row r="11">
      <x:c r="A11" t="str">
        <x:v>O1010</x:v>
      </x:c>
      <x:c r="B11" t="str">
        <x:v>Ravi</x:v>
      </x:c>
      <x:c r="C11" t="str">
        <x:v>North</x:v>
      </x:c>
      <x:c r="D11" t="str">
        <x:v>Monitor</x:v>
      </x:c>
      <x:c r="E11" t="str">
        <x:v>Electronics</x:v>
      </x:c>
      <x:c r="F11" t="n">
        <x:v>4</x:v>
      </x:c>
      <x:c r="G11" s="36" t="n">
        <x:v>180</x:v>
      </x:c>
      <x:c r="H11" s="36" t="n">
        <x:f>F11*G11</x:f>
        <x:v>720</x:v>
      </x:c>
      <x:c r="I11" s="38" t="n">
        <x:f>H11/SUM($H$2:$H$25)</x:f>
        <x:v>0.03330249768732655</x:v>
      </x:c>
      <x:c r="J11" t="str">
        <x:f>IF(H11&gt;=1000,"High","Low")</x:f>
        <x:v>Low</x:v>
      </x:c>
    </x:row>
    <x:row r="12">
      <x:c r="A12" t="str">
        <x:v>O1011</x:v>
      </x:c>
      <x:c r="B12" t="str">
        <x:v>Neha</x:v>
      </x:c>
      <x:c r="C12" t="str">
        <x:v>East</x:v>
      </x:c>
      <x:c r="D12" t="str">
        <x:v>Laptop</x:v>
      </x:c>
      <x:c r="E12" t="str">
        <x:v>Electronics</x:v>
      </x:c>
      <x:c r="F12" t="n">
        <x:v>3</x:v>
      </x:c>
      <x:c r="G12" s="36" t="n">
        <x:v>500</x:v>
      </x:c>
      <x:c r="H12" s="36" t="n">
        <x:f>F12*G12</x:f>
        <x:v>1500</x:v>
      </x:c>
      <x:c r="I12" s="38" t="n">
        <x:f>H12/SUM($H$2:$H$25)</x:f>
        <x:v>0.06938020351526364</x:v>
      </x:c>
      <x:c r="J12" t="str">
        <x:f>IF(H12&gt;=1000,"High","Low")</x:f>
        <x:v>High</x:v>
      </x:c>
    </x:row>
    <x:row r="13">
      <x:c r="A13" t="str">
        <x:v>O1012</x:v>
      </x:c>
      <x:c r="B13" t="str">
        <x:v>Amit</x:v>
      </x:c>
      <x:c r="C13" t="str">
        <x:v>South</x:v>
      </x:c>
      <x:c r="D13" t="str">
        <x:v>Printer</x:v>
      </x:c>
      <x:c r="E13" t="str">
        <x:v>Office</x:v>
      </x:c>
      <x:c r="F13" t="n">
        <x:v>4</x:v>
      </x:c>
      <x:c r="G13" s="36" t="n">
        <x:v>220</x:v>
      </x:c>
      <x:c r="H13" s="36" t="n">
        <x:f>F13*G13</x:f>
        <x:v>880</x:v>
      </x:c>
      <x:c r="I13" s="38" t="n">
        <x:f>H13/SUM($H$2:$H$25)</x:f>
        <x:v>0.04070305272895467</x:v>
      </x:c>
      <x:c r="J13" t="str">
        <x:f>IF(H13&gt;=1000,"High","Low")</x:f>
        <x:v>Low</x:v>
      </x:c>
    </x:row>
    <x:row r="14">
      <x:c r="A14" t="str">
        <x:v>O1013</x:v>
      </x:c>
      <x:c r="B14" t="str">
        <x:v>Asha</x:v>
      </x:c>
      <x:c r="C14" t="str">
        <x:v>North</x:v>
      </x:c>
      <x:c r="D14" t="str">
        <x:v>Keyboard</x:v>
      </x:c>
      <x:c r="E14" t="str">
        <x:v>Accessories</x:v>
      </x:c>
      <x:c r="F14" t="n">
        <x:v>10</x:v>
      </x:c>
      <x:c r="G14" s="36" t="n">
        <x:v>30</x:v>
      </x:c>
      <x:c r="H14" s="36" t="n">
        <x:f>F14*G14</x:f>
        <x:v>300</x:v>
      </x:c>
      <x:c r="I14" s="38" t="n">
        <x:f>H14/SUM($H$2:$H$25)</x:f>
        <x:v>0.013876040703052728</x:v>
      </x:c>
      <x:c r="J14" t="str">
        <x:f>IF(H14&gt;=1000,"High","Low")</x:f>
        <x:v>Low</x:v>
      </x:c>
    </x:row>
    <x:row r="15">
      <x:c r="A15" t="str">
        <x:v>O1014</x:v>
      </x:c>
      <x:c r="B15" t="str">
        <x:v>Ravi</x:v>
      </x:c>
      <x:c r="C15" t="str">
        <x:v>East</x:v>
      </x:c>
      <x:c r="D15" t="str">
        <x:v>Desk</x:v>
      </x:c>
      <x:c r="E15" t="str">
        <x:v>Furniture</x:v>
      </x:c>
      <x:c r="F15" t="n">
        <x:v>1</x:v>
      </x:c>
      <x:c r="G15" s="36" t="n">
        <x:v>200</x:v>
      </x:c>
      <x:c r="H15" s="36" t="n">
        <x:f>F15*G15</x:f>
        <x:v>200</x:v>
      </x:c>
      <x:c r="I15" s="38" t="n">
        <x:f>H15/SUM($H$2:$H$25)</x:f>
        <x:v>0.009250693802035153</x:v>
      </x:c>
      <x:c r="J15" t="str">
        <x:f>IF(H15&gt;=1000,"High","Low")</x:f>
        <x:v>Low</x:v>
      </x:c>
    </x:row>
    <x:row r="16">
      <x:c r="A16" t="str">
        <x:v>O1015</x:v>
      </x:c>
      <x:c r="B16" t="str">
        <x:v>Neha</x:v>
      </x:c>
      <x:c r="C16" t="str">
        <x:v>West</x:v>
      </x:c>
      <x:c r="D16" t="str">
        <x:v>Chair</x:v>
      </x:c>
      <x:c r="E16" t="str">
        <x:v>Furniture</x:v>
      </x:c>
      <x:c r="F16" t="n">
        <x:v>8</x:v>
      </x:c>
      <x:c r="G16" s="36" t="n">
        <x:v>90</x:v>
      </x:c>
      <x:c r="H16" s="36" t="n">
        <x:f>F16*G16</x:f>
        <x:v>720</x:v>
      </x:c>
      <x:c r="I16" s="38" t="n">
        <x:f>H16/SUM($H$2:$H$25)</x:f>
        <x:v>0.03330249768732655</x:v>
      </x:c>
      <x:c r="J16" t="str">
        <x:f>IF(H16&gt;=1000,"High","Low")</x:f>
        <x:v>Low</x:v>
      </x:c>
    </x:row>
    <x:row r="17">
      <x:c r="A17" t="str">
        <x:v>O1016</x:v>
      </x:c>
      <x:c r="B17" t="str">
        <x:v>Amit</x:v>
      </x:c>
      <x:c r="C17" t="str">
        <x:v>North</x:v>
      </x:c>
      <x:c r="D17" t="str">
        <x:v>Laptop</x:v>
      </x:c>
      <x:c r="E17" t="str">
        <x:v>Electronics</x:v>
      </x:c>
      <x:c r="F17" t="n">
        <x:v>6</x:v>
      </x:c>
      <x:c r="G17" s="36" t="n">
        <x:v>500</x:v>
      </x:c>
      <x:c r="H17" s="36" t="n">
        <x:f>F17*G17</x:f>
        <x:v>3000</x:v>
      </x:c>
      <x:c r="I17" s="38" t="n">
        <x:f>H17/SUM($H$2:$H$25)</x:f>
        <x:v>0.13876040703052728</x:v>
      </x:c>
      <x:c r="J17" t="str">
        <x:f>IF(H17&gt;=1000,"High","Low")</x:f>
        <x:v>High</x:v>
      </x:c>
    </x:row>
    <x:row r="18">
      <x:c r="A18" t="str">
        <x:v>O1017</x:v>
      </x:c>
      <x:c r="B18" t="str">
        <x:v>Asha</x:v>
      </x:c>
      <x:c r="C18" t="str">
        <x:v>South</x:v>
      </x:c>
      <x:c r="D18" t="str">
        <x:v>Monitor</x:v>
      </x:c>
      <x:c r="E18" t="str">
        <x:v>Electronics</x:v>
      </x:c>
      <x:c r="F18" t="n">
        <x:v>5</x:v>
      </x:c>
      <x:c r="G18" s="36" t="n">
        <x:v>180</x:v>
      </x:c>
      <x:c r="H18" s="36" t="n">
        <x:f>F18*G18</x:f>
        <x:v>900</x:v>
      </x:c>
      <x:c r="I18" s="38" t="n">
        <x:f>H18/SUM($H$2:$H$25)</x:f>
        <x:v>0.041628122109158186</x:v>
      </x:c>
      <x:c r="J18" t="str">
        <x:f>IF(H18&gt;=1000,"High","Low")</x:f>
        <x:v>Low</x:v>
      </x:c>
    </x:row>
    <x:row r="19">
      <x:c r="A19" t="str">
        <x:v>O1018</x:v>
      </x:c>
      <x:c r="B19" t="str">
        <x:v>Ravi</x:v>
      </x:c>
      <x:c r="C19" t="str">
        <x:v>West</x:v>
      </x:c>
      <x:c r="D19" t="str">
        <x:v>Printer</x:v>
      </x:c>
      <x:c r="E19" t="str">
        <x:v>Office</x:v>
      </x:c>
      <x:c r="F19" t="n">
        <x:v>2</x:v>
      </x:c>
      <x:c r="G19" s="36" t="n">
        <x:v>220</x:v>
      </x:c>
      <x:c r="H19" s="36" t="n">
        <x:f>F19*G19</x:f>
        <x:v>440</x:v>
      </x:c>
      <x:c r="I19" s="38" t="n">
        <x:f>H19/SUM($H$2:$H$25)</x:f>
        <x:v>0.020351526364477335</x:v>
      </x:c>
      <x:c r="J19" t="str">
        <x:f>IF(H19&gt;=1000,"High","Low")</x:f>
        <x:v>Low</x:v>
      </x:c>
    </x:row>
    <x:row r="20">
      <x:c r="A20" t="str">
        <x:v>O1019</x:v>
      </x:c>
      <x:c r="B20" t="str">
        <x:v>Neha</x:v>
      </x:c>
      <x:c r="C20" t="str">
        <x:v>East</x:v>
      </x:c>
      <x:c r="D20" t="str">
        <x:v>Mouse</x:v>
      </x:c>
      <x:c r="E20" t="str">
        <x:v>Accessories</x:v>
      </x:c>
      <x:c r="F20" t="n">
        <x:v>18</x:v>
      </x:c>
      <x:c r="G20" s="36" t="n">
        <x:v>20</x:v>
      </x:c>
      <x:c r="H20" s="36" t="n">
        <x:f>F20*G20</x:f>
        <x:v>360</x:v>
      </x:c>
      <x:c r="I20" s="38" t="n">
        <x:f>H20/SUM($H$2:$H$25)</x:f>
        <x:v>0.016651248843663275</x:v>
      </x:c>
      <x:c r="J20" t="str">
        <x:f>IF(H20&gt;=1000,"High","Low")</x:f>
        <x:v>Low</x:v>
      </x:c>
    </x:row>
    <x:row r="21">
      <x:c r="A21" t="str">
        <x:v>O1020</x:v>
      </x:c>
      <x:c r="B21" t="str">
        <x:v>Amit</x:v>
      </x:c>
      <x:c r="C21" t="str">
        <x:v>South</x:v>
      </x:c>
      <x:c r="D21" t="str">
        <x:v>Keyboard</x:v>
      </x:c>
      <x:c r="E21" t="str">
        <x:v>Accessories</x:v>
      </x:c>
      <x:c r="F21" t="n">
        <x:v>14</x:v>
      </x:c>
      <x:c r="G21" s="36" t="n">
        <x:v>30</x:v>
      </x:c>
      <x:c r="H21" s="36" t="n">
        <x:f>F21*G21</x:f>
        <x:v>420</x:v>
      </x:c>
      <x:c r="I21" s="38" t="n">
        <x:f>H21/SUM($H$2:$H$25)</x:f>
        <x:v>0.01942645698427382</x:v>
      </x:c>
      <x:c r="J21" t="str">
        <x:f>IF(H21&gt;=1000,"High","Low")</x:f>
        <x:v>Low</x:v>
      </x:c>
    </x:row>
    <x:row r="22">
      <x:c r="A22" t="str">
        <x:v>O1021</x:v>
      </x:c>
      <x:c r="B22" t="str">
        <x:v>Asha</x:v>
      </x:c>
      <x:c r="C22" t="str">
        <x:v>North</x:v>
      </x:c>
      <x:c r="D22" t="str">
        <x:v>Desk</x:v>
      </x:c>
      <x:c r="E22" t="str">
        <x:v>Furniture</x:v>
      </x:c>
      <x:c r="F22" t="n">
        <x:v>2</x:v>
      </x:c>
      <x:c r="G22" s="36" t="n">
        <x:v>200</x:v>
      </x:c>
      <x:c r="H22" s="36" t="n">
        <x:f>F22*G22</x:f>
        <x:v>400</x:v>
      </x:c>
      <x:c r="I22" s="38" t="n">
        <x:f>H22/SUM($H$2:$H$25)</x:f>
        <x:v>0.018501387604070305</x:v>
      </x:c>
      <x:c r="J22" t="str">
        <x:f>IF(H22&gt;=1000,"High","Low")</x:f>
        <x:v>Low</x:v>
      </x:c>
    </x:row>
    <x:row r="23">
      <x:c r="A23" t="str">
        <x:v>O1022</x:v>
      </x:c>
      <x:c r="B23" t="str">
        <x:v>Ravi</x:v>
      </x:c>
      <x:c r="C23" t="str">
        <x:v>West</x:v>
      </x:c>
      <x:c r="D23" t="str">
        <x:v>Chair</x:v>
      </x:c>
      <x:c r="E23" t="str">
        <x:v>Furniture</x:v>
      </x:c>
      <x:c r="F23" t="n">
        <x:v>5</x:v>
      </x:c>
      <x:c r="G23" s="36" t="n">
        <x:v>90</x:v>
      </x:c>
      <x:c r="H23" s="36" t="n">
        <x:f>F23*G23</x:f>
        <x:v>450</x:v>
      </x:c>
      <x:c r="I23" s="38" t="n">
        <x:f>H23/SUM($H$2:$H$25)</x:f>
        <x:v>0.020814061054579093</x:v>
      </x:c>
      <x:c r="J23" t="str">
        <x:f>IF(H23&gt;=1000,"High","Low")</x:f>
        <x:v>Low</x:v>
      </x:c>
    </x:row>
    <x:row r="24">
      <x:c r="A24" t="str">
        <x:v>O1023</x:v>
      </x:c>
      <x:c r="B24" t="str">
        <x:v>Neha</x:v>
      </x:c>
      <x:c r="C24" t="str">
        <x:v>South</x:v>
      </x:c>
      <x:c r="D24" t="str">
        <x:v>Laptop</x:v>
      </x:c>
      <x:c r="E24" t="str">
        <x:v>Electronics</x:v>
      </x:c>
      <x:c r="F24" t="n">
        <x:v>4</x:v>
      </x:c>
      <x:c r="G24" s="36" t="n">
        <x:v>500</x:v>
      </x:c>
      <x:c r="H24" s="36" t="n">
        <x:f>F24*G24</x:f>
        <x:v>2000</x:v>
      </x:c>
      <x:c r="I24" s="38" t="n">
        <x:f>H24/SUM($H$2:$H$25)</x:f>
        <x:v>0.09250693802035152</x:v>
      </x:c>
      <x:c r="J24" t="str">
        <x:f>IF(H24&gt;=1000,"High","Low")</x:f>
        <x:v>High</x:v>
      </x:c>
    </x:row>
    <x:row r="25">
      <x:c r="A25" t="str">
        <x:v>O1024</x:v>
      </x:c>
      <x:c r="B25" t="str">
        <x:v>Amit</x:v>
      </x:c>
      <x:c r="C25" t="str">
        <x:v>East</x:v>
      </x:c>
      <x:c r="D25" t="str">
        <x:v>Monitor</x:v>
      </x:c>
      <x:c r="E25" t="str">
        <x:v>Electronics</x:v>
      </x:c>
      <x:c r="F25" t="n">
        <x:v>9</x:v>
      </x:c>
      <x:c r="G25" s="36" t="n">
        <x:v>180</x:v>
      </x:c>
      <x:c r="H25" s="36" t="n">
        <x:f>F25*G25</x:f>
        <x:v>1620</x:v>
      </x:c>
      <x:c r="I25" s="38" t="n">
        <x:f>H25/SUM($H$2:$H$25)</x:f>
        <x:v>0.07493061979648474</x:v>
      </x:c>
      <x:c r="J25" t="str">
        <x:f>IF(H25&gt;=1000,"High","Low")</x:f>
        <x:v>High</x:v>
      </x:c>
    </x:row>
  </x:sheetData>
  <x:conditionalFormatting sqref="H2:H25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{3238B2BC-AE78-EFC2-0DBE-0C65276BB45F}</x14:id>
        </x:ext>
      </x:extLst>
    </x:cfRule>
  </x:conditionalFormatting>
  <x:conditionalFormatting sqref="J2:J25">
    <x:cfRule type="expression" dxfId="0" priority="2">
      <x:formula>J2="High"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3de455278bd4eb7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238B2BC-AE78-EFC2-0DBE-0C65276BB45F}">
            <x14:dataBar gradient="1">
              <x14:cfvo type="min"/>
              <x14:cfvo type="max"/>
              <x14:fillColor rgb="FFA02B93"/>
            </x14:dataBar>
          </x14:cfRule>
          <xm:sqref>H2:H25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21.1299991607666" hidden="0" customWidth="1"/>
    <x:col min="2" max="2" width="8.880000114440918" hidden="0" customWidth="1"/>
    <x:col min="4" max="4" width="5.75" hidden="0" customWidth="1"/>
    <x:col min="5" max="5" width="8" hidden="0" customWidth="1"/>
    <x:col min="7" max="7" width="9.130000114440918" hidden="0" customWidth="1"/>
    <x:col min="8" max="8" width="8.880000114440918" hidden="0" customWidth="1"/>
  </x:cols>
  <x:sheetData>
    <x:row r="1">
      <x:c r="A1" s="5" t="str">
        <x:v>Revenue Performance Summary</x:v>
      </x:c>
      <x:c r="B1" s="5"/>
      <x:c r="C1" s="5"/>
      <x:c r="D1" s="5"/>
      <x:c r="E1" s="5"/>
      <x:c r="F1" s="5"/>
      <x:c r="G1" s="5"/>
      <x:c r="H1" s="5"/>
    </x:row>
    <x:row r="3">
      <x:c r="A3" s="31" t="str">
        <x:v>Metric</x:v>
      </x:c>
      <x:c r="B3" s="31" t="str">
        <x:v>Value</x:v>
      </x:c>
    </x:row>
    <x:row r="4">
      <x:c r="A4" t="str">
        <x:v>Unique Orders</x:v>
      </x:c>
      <x:c r="B4" t="n">
        <x:f>COUNTA('Sales Data'!$A$2:$A$25)</x:f>
        <x:v>24</x:v>
      </x:c>
    </x:row>
    <x:row r="5">
      <x:c r="A5" t="str">
        <x:v>Total Revenue</x:v>
      </x:c>
      <x:c r="B5" s="36" t="n">
        <x:f>SUM('Sales Data'!$H$2:$H$25)</x:f>
        <x:v>21620</x:v>
      </x:c>
    </x:row>
    <x:row r="6">
      <x:c r="A6" t="str">
        <x:v>Average Revenue per Order</x:v>
      </x:c>
      <x:c r="B6" s="36" t="n">
        <x:f>B5/B4</x:f>
        <x:v>900.8333333333334</x:v>
      </x:c>
    </x:row>
    <x:row r="7">
      <x:c r="A7" t="str">
        <x:v>High-Revenue Orders</x:v>
      </x:c>
      <x:c r="B7" t="n">
        <x:f>COUNTIF('Sales Data'!$J$2:$J$25,"High")</x:f>
        <x:v>7</x:v>
      </x:c>
    </x:row>
    <x:row r="10">
      <x:c r="A10" s="31" t="str">
        <x:v>Salesperson</x:v>
      </x:c>
      <x:c r="B10" s="31" t="str">
        <x:v>Revenue</x:v>
      </x:c>
      <x:c r="D10" s="31" t="str">
        <x:v>Region</x:v>
      </x:c>
      <x:c r="E10" s="31" t="str">
        <x:v>Revenue</x:v>
      </x:c>
      <x:c r="G10" s="31" t="str">
        <x:v>Category</x:v>
      </x:c>
      <x:c r="H10" s="31" t="str">
        <x:v>Revenue</x:v>
      </x:c>
    </x:row>
    <x:row r="11">
      <x:c r="A11" t="str">
        <x:v>Amit</x:v>
      </x:c>
      <x:c r="B11" s="36" t="n">
        <x:f>SUMIF('Sales Data'!$B$2:$B$25,A11,'Sales Data'!$H$2:$H$25)</x:f>
        <x:v>7580</x:v>
      </x:c>
      <x:c r="D11" t="str">
        <x:v>East</x:v>
      </x:c>
      <x:c r="E11" s="36" t="n">
        <x:f>SUMIF('Sales Data'!$C$2:$C$25,D11,'Sales Data'!$H$2:$H$25)</x:f>
        <x:v>5340</x:v>
      </x:c>
      <x:c r="G11" t="str">
        <x:v>Accessories</x:v>
      </x:c>
      <x:c r="H11" s="36" t="n">
        <x:f>SUMIF('Sales Data'!$E$2:$E$25,G11,'Sales Data'!$H$2:$H$25)</x:f>
        <x:v>2430</x:v>
      </x:c>
    </x:row>
    <x:row r="12">
      <x:c r="A12" t="str">
        <x:v>Asha</x:v>
      </x:c>
      <x:c r="B12" s="36" t="n">
        <x:f>SUMIF('Sales Data'!$B$2:$B$25,A12,'Sales Data'!$H$2:$H$25)</x:f>
        <x:v>5260</x:v>
      </x:c>
      <x:c r="D12" t="str">
        <x:v>North</x:v>
      </x:c>
      <x:c r="E12" s="36" t="n">
        <x:f>SUMIF('Sales Data'!$C$2:$C$25,D12,'Sales Data'!$H$2:$H$25)</x:f>
        <x:v>7580</x:v>
      </x:c>
      <x:c r="G12" t="str">
        <x:v>Electronics</x:v>
      </x:c>
      <x:c r="H12" s="36" t="n">
        <x:f>SUMIF('Sales Data'!$E$2:$E$25,G12,'Sales Data'!$H$2:$H$25)</x:f>
        <x:v>14500</x:v>
      </x:c>
    </x:row>
    <x:row r="13">
      <x:c r="A13" t="str">
        <x:v>Neha</x:v>
      </x:c>
      <x:c r="B13" s="36" t="n">
        <x:f>SUMIF('Sales Data'!$B$2:$B$25,A13,'Sales Data'!$H$2:$H$25)</x:f>
        <x:v>5570</x:v>
      </x:c>
      <x:c r="D13" t="str">
        <x:v>South</x:v>
      </x:c>
      <x:c r="E13" s="36" t="n">
        <x:f>SUMIF('Sales Data'!$C$2:$C$25,D13,'Sales Data'!$H$2:$H$25)</x:f>
        <x:v>5140</x:v>
      </x:c>
      <x:c r="G13" t="str">
        <x:v>Furniture</x:v>
      </x:c>
      <x:c r="H13" s="36" t="n">
        <x:f>SUMIF('Sales Data'!$E$2:$E$25,G13,'Sales Data'!$H$2:$H$25)</x:f>
        <x:v>2710</x:v>
      </x:c>
    </x:row>
    <x:row r="14">
      <x:c r="A14" t="str">
        <x:v>Ravi</x:v>
      </x:c>
      <x:c r="B14" s="36" t="n">
        <x:f>SUMIF('Sales Data'!$B$2:$B$25,A14,'Sales Data'!$H$2:$H$25)</x:f>
        <x:v>3210</x:v>
      </x:c>
      <x:c r="D14" t="str">
        <x:v>West</x:v>
      </x:c>
      <x:c r="E14" s="36" t="n">
        <x:f>SUMIF('Sales Data'!$C$2:$C$25,D14,'Sales Data'!$H$2:$H$25)</x:f>
        <x:v>3560</x:v>
      </x:c>
      <x:c r="G14" t="str">
        <x:v>Office</x:v>
      </x:c>
      <x:c r="H14" s="36" t="n">
        <x:f>SUMIF('Sales Data'!$E$2:$E$25,G14,'Sales Data'!$H$2:$H$25)</x:f>
        <x:v>1980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71d1ca8348b94ce1"/>
</x:worksheet>
</file>